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 - Current State" sheetId="2" state="visible" r:id="rId2"/>
    <sheet name="INPUTS - Scenarios" sheetId="3" state="visible" r:id="rId3"/>
    <sheet name="DEMAND FORECAST" sheetId="4" state="visible" r:id="rId4"/>
    <sheet name="CAPACITY MODEL" sheetId="5" state="visible" r:id="rId5"/>
    <sheet name="FACILITY &amp; EQUIPMENT" sheetId="6" state="visible" r:id="rId6"/>
    <sheet name="SCENARIO COMPARISON" sheetId="7" state="visible" r:id="rId7"/>
    <sheet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2">
    <font>
      <name val="Calibri"/>
      <family val="2"/>
      <color theme="1"/>
      <sz val="11"/>
      <scheme val="minor"/>
    </font>
    <font>
      <name val="Calibri"/>
      <b val="1"/>
      <color rgb="002E4053"/>
      <sz val="18"/>
    </font>
    <font>
      <name val="Calibri"/>
      <b val="1"/>
      <color rgb="001A5276"/>
      <sz val="14"/>
    </font>
    <font>
      <name val="Calibri"/>
      <b val="1"/>
      <sz val="11"/>
    </font>
    <font>
      <name val="Calibri"/>
      <b val="1"/>
      <color rgb="00FFFFFF"/>
      <sz val="12"/>
    </font>
    <font>
      <i val="1"/>
      <color rgb="00666666"/>
    </font>
    <font>
      <b val="1"/>
      <color rgb="00CC0000"/>
      <sz val="14"/>
    </font>
    <font>
      <name val="Calibri"/>
      <sz val="11"/>
    </font>
    <font>
      <name val="Calibri"/>
      <b val="1"/>
      <color rgb="002E4053"/>
      <sz val="20"/>
    </font>
    <font>
      <b val="1"/>
      <sz val="18"/>
    </font>
    <font>
      <b val="1"/>
      <color rgb="00CC0000"/>
      <sz val="16"/>
    </font>
    <font>
      <b val="1"/>
    </font>
  </fonts>
  <fills count="11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D6EAF8"/>
        <bgColor rgb="00D6EAF8"/>
      </patternFill>
    </fill>
    <fill>
      <patternFill patternType="solid">
        <fgColor rgb="00F2F3F4"/>
        <bgColor rgb="00F2F3F4"/>
      </patternFill>
    </fill>
    <fill>
      <patternFill patternType="solid">
        <fgColor rgb="00ABEBC6"/>
        <bgColor rgb="00ABEBC6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28A745"/>
        <bgColor rgb="0028A745"/>
      </patternFill>
    </fill>
    <fill>
      <patternFill patternType="solid">
        <fgColor rgb="00FD7E14"/>
        <bgColor rgb="00FD7E14"/>
      </patternFill>
    </fill>
    <fill>
      <patternFill patternType="solid">
        <fgColor rgb="005DADE2"/>
        <bgColor rgb="005DAD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4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4" borderId="0" pivotButton="0" quotePrefix="0" xfId="0"/>
    <xf numFmtId="2" fontId="0" fillId="4" borderId="0" pivotButton="0" quotePrefix="0" xfId="0"/>
    <xf numFmtId="0" fontId="0" fillId="0" borderId="1" applyAlignment="1" pivotButton="0" quotePrefix="0" xfId="0">
      <alignment horizontal="center" vertical="center"/>
    </xf>
    <xf numFmtId="3" fontId="0" fillId="4" borderId="1" pivotButton="0" quotePrefix="0" xfId="0"/>
    <xf numFmtId="0" fontId="6" fillId="0" borderId="0" pivotButton="0" quotePrefix="0" xfId="0"/>
    <xf numFmtId="9" fontId="0" fillId="7" borderId="0" pivotButton="0" quotePrefix="0" xfId="0"/>
    <xf numFmtId="9" fontId="0" fillId="0" borderId="1" pivotButton="0" quotePrefix="0" xfId="0"/>
    <xf numFmtId="3" fontId="0" fillId="0" borderId="1" pivotButton="0" quotePrefix="0" xfId="0"/>
    <xf numFmtId="9" fontId="0" fillId="4" borderId="1" pivotButton="0" quotePrefix="0" xfId="0"/>
    <xf numFmtId="0" fontId="4" fillId="9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10" borderId="0" pivotButton="0" quotePrefix="0" xfId="0"/>
    <xf numFmtId="0" fontId="3" fillId="0" borderId="0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9" fontId="9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0" pivotButton="0" quotePrefix="0" xfId="0"/>
    <xf numFmtId="0" fontId="10" fillId="0" borderId="0" pivotButton="0" quotePrefix="0" xfId="0"/>
    <xf numFmtId="9" fontId="10" fillId="0" borderId="0" pivotButton="0" quotePrefix="0" xfId="0"/>
    <xf numFmtId="0" fontId="11" fillId="0" borderId="0" pivotButton="0" quotePrefix="0" xfId="0"/>
    <xf numFmtId="9" fontId="0" fillId="5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9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ABEBC6"/>
          <bgColor rgb="00ABEBC6"/>
        </patternFill>
      </fill>
    </dxf>
    <dxf>
      <fill>
        <patternFill patternType="solid">
          <fgColor rgb="00F9E79F"/>
          <bgColor rgb="00F9E79F"/>
        </patternFill>
      </fill>
    </dxf>
    <dxf>
      <fill>
        <patternFill patternType="solid">
          <fgColor rgb="00F5B7B1"/>
          <bgColor rgb="00F5B7B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Order Forecast (52 Weeks)</a:t>
            </a:r>
          </a:p>
        </rich>
      </tx>
    </title>
    <plotArea>
      <lineChart>
        <grouping val="standard"/>
        <ser>
          <idx val="0"/>
          <order val="0"/>
          <tx>
            <strRef>
              <f>'DEMAND FORECAST'!D11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'DEMAND FORECAST'!$B$12:$B$63</f>
            </numRef>
          </cat>
          <val>
            <numRef>
              <f>'DEMAND FORECAST'!$D$12:$D$63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Weekly 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 1 Utilization by Stage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'CAPACITY MODEL'!$C$11:$C$14</f>
            </numRef>
          </cat>
          <val>
            <numRef>
              <f>'CAPACITY MODEL'!$H$11:$H$14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Utilization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Packing Stations: Needed vs Available</a:t>
            </a:r>
          </a:p>
        </rich>
      </tx>
    </title>
    <plotArea>
      <lineChart>
        <grouping val="standard"/>
        <ser>
          <idx val="0"/>
          <order val="0"/>
          <tx>
            <strRef>
              <f>'FACILITY &amp; EQUIPMENT'!H15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'FACILITY &amp; EQUIPMENT'!$B$16:$B$67</f>
            </numRef>
          </cat>
          <val>
            <numRef>
              <f>'FACILITY &amp; EQUIPMENT'!$H$16:$H$67</f>
            </numRef>
          </val>
        </ser>
        <ser>
          <idx val="1"/>
          <order val="1"/>
          <tx>
            <strRef>
              <f>'FACILITY &amp; EQUIPMENT'!I15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'FACILITY &amp; EQUIPMENT'!$B$16:$B$67</f>
            </numRef>
          </cat>
          <val>
            <numRef>
              <f>'FACILITY &amp; EQUIPMENT'!$I$16:$I$67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E86AB"/>
    <outlinePr summaryBelow="1" summaryRight="1"/>
    <pageSetUpPr/>
  </sheetPr>
  <dimension ref="B2:C56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40" customWidth="1" min="3" max="3"/>
  </cols>
  <sheetData>
    <row r="2" ht="30" customHeight="1">
      <c r="B2" s="1" t="inlineStr">
        <is>
          <t>PHARMACY OPERATIONS CAPACITY PLANNING MODEL</t>
        </is>
      </c>
    </row>
    <row r="4">
      <c r="B4" s="2" t="inlineStr">
        <is>
          <t>PURPOSE</t>
        </is>
      </c>
    </row>
    <row r="5">
      <c r="B5" t="inlineStr">
        <is>
          <t>This Excel-based tool helps operations leadership:</t>
        </is>
      </c>
    </row>
    <row r="6">
      <c r="B6" t="inlineStr">
        <is>
          <t xml:space="preserve">  - Identify current and future bottlenecks across the production pipeline</t>
        </is>
      </c>
    </row>
    <row r="7">
      <c r="B7" t="inlineStr">
        <is>
          <t xml:space="preserve">  - Forecast when additional hiring or facilities investment is needed</t>
        </is>
      </c>
    </row>
    <row r="8">
      <c r="B8" t="inlineStr">
        <is>
          <t xml:space="preserve">  - Enable scenario planning for different growth trajectories</t>
        </is>
      </c>
    </row>
    <row r="9">
      <c r="B9" t="inlineStr">
        <is>
          <t xml:space="preserve">  - Support data-driven decisions on resource allocation</t>
        </is>
      </c>
    </row>
    <row r="11">
      <c r="B11" s="2" t="inlineStr">
        <is>
          <t>HOW TO USE THIS MODEL</t>
        </is>
      </c>
    </row>
    <row r="13">
      <c r="B13" t="inlineStr">
        <is>
          <t>1. Start with 'INPUTS - Current State' tab: Enter your current staffing levels and capacity rates</t>
        </is>
      </c>
    </row>
    <row r="14">
      <c r="B14" t="inlineStr">
        <is>
          <t>2. Review 'INPUTS - Scenarios' tab: Define up to 3 scenarios with different hiring plans</t>
        </is>
      </c>
    </row>
    <row r="15">
      <c r="B15" t="inlineStr">
        <is>
          <t>3. Check 'DEMAND FORECAST' tab: Verify order projections look reasonable</t>
        </is>
      </c>
    </row>
    <row r="16">
      <c r="B16" t="inlineStr">
        <is>
          <t>4. Analyze 'CAPACITY MODEL' tab: See utilization by stage and identify bottlenecks</t>
        </is>
      </c>
    </row>
    <row r="17">
      <c r="B17" t="inlineStr">
        <is>
          <t>5. Review 'FACILITY &amp; EQUIPMENT' tab: Check for space/equipment constraints</t>
        </is>
      </c>
    </row>
    <row r="18">
      <c r="B18" t="inlineStr">
        <is>
          <t>6. Compare scenarios in 'SCENARIO COMPARISON' tab</t>
        </is>
      </c>
    </row>
    <row r="19">
      <c r="B19" t="inlineStr">
        <is>
          <t>7. Use 'DASHBOARD' tab for executive summaries and presentations</t>
        </is>
      </c>
    </row>
    <row r="22">
      <c r="B22" s="2" t="inlineStr">
        <is>
          <t>TAB NAVIGATION</t>
        </is>
      </c>
    </row>
    <row r="24">
      <c r="B24" s="3" t="inlineStr">
        <is>
          <t>Tab Name</t>
        </is>
      </c>
      <c r="C24" s="3" t="inlineStr">
        <is>
          <t>Description</t>
        </is>
      </c>
    </row>
    <row r="25">
      <c r="B25" s="4" t="inlineStr">
        <is>
          <t>INPUTS - Current State</t>
        </is>
      </c>
      <c r="C25" s="4" t="inlineStr">
        <is>
          <t>Enter staffing, capacity rates, and current order volume (BLUE cells = input)</t>
        </is>
      </c>
    </row>
    <row r="26">
      <c r="B26" s="4" t="inlineStr">
        <is>
          <t>INPUTS - Scenarios</t>
        </is>
      </c>
      <c r="C26" s="4" t="inlineStr">
        <is>
          <t>Define hiring plans and growth rates for up to 3 scenarios</t>
        </is>
      </c>
    </row>
    <row r="27">
      <c r="B27" s="4" t="inlineStr">
        <is>
          <t>DEMAND FORECAST</t>
        </is>
      </c>
      <c r="C27" s="4" t="inlineStr">
        <is>
          <t>View 52-week order projections based on growth assumptions</t>
        </is>
      </c>
    </row>
    <row r="28">
      <c r="B28" s="4" t="inlineStr">
        <is>
          <t>CAPACITY MODEL</t>
        </is>
      </c>
      <c r="C28" s="4" t="inlineStr">
        <is>
          <t>Core calculations showing utilization % and bottlenecks by stage</t>
        </is>
      </c>
    </row>
    <row r="29">
      <c r="B29" s="4" t="inlineStr">
        <is>
          <t>FACILITY &amp; EQUIPMENT</t>
        </is>
      </c>
      <c r="C29" s="4" t="inlineStr">
        <is>
          <t>Track hoods, storage, and packing station constraints</t>
        </is>
      </c>
    </row>
    <row r="30">
      <c r="B30" s="4" t="inlineStr">
        <is>
          <t>SCENARIO COMPARISON</t>
        </is>
      </c>
      <c r="C30" s="4" t="inlineStr">
        <is>
          <t>Side-by-side comparison of all scenarios</t>
        </is>
      </c>
    </row>
    <row r="31">
      <c r="B31" s="4" t="inlineStr">
        <is>
          <t>DASHBOARD</t>
        </is>
      </c>
      <c r="C31" s="4" t="inlineStr">
        <is>
          <t>Visual summary with charts and key metrics</t>
        </is>
      </c>
    </row>
    <row r="34">
      <c r="B34" s="2" t="inlineStr">
        <is>
          <t>KEY ASSUMPTIONS</t>
        </is>
      </c>
    </row>
    <row r="36">
      <c r="B36" t="inlineStr">
        <is>
          <t>- All orders are treated equally (no multi-product complexity)</t>
        </is>
      </c>
    </row>
    <row r="37">
      <c r="B37" t="inlineStr">
        <is>
          <t>- Orders flow sequentially through: Compounding -&gt; PV1 -&gt; PV2 -&gt; Fulfillment</t>
        </is>
      </c>
    </row>
    <row r="38">
      <c r="B38" t="inlineStr">
        <is>
          <t>- Working days per week is configurable (default: 5 days)</t>
        </is>
      </c>
    </row>
    <row r="39">
      <c r="B39" t="inlineStr">
        <is>
          <t>- Weekly growth rate = Monthly growth rate / 4.33</t>
        </is>
      </c>
    </row>
    <row r="40">
      <c r="B40" t="inlineStr">
        <is>
          <t>- New hires reach full productivity after onboarding period (configurable)</t>
        </is>
      </c>
    </row>
    <row r="41">
      <c r="B41" t="inlineStr">
        <is>
          <t>- Facility constraints are linear with order volume</t>
        </is>
      </c>
    </row>
    <row r="44">
      <c r="B44" s="2" t="inlineStr">
        <is>
          <t>COLOR LEGEND</t>
        </is>
      </c>
    </row>
    <row r="46">
      <c r="B46" s="5" t="inlineStr">
        <is>
          <t>Input Cell (edit this)</t>
        </is>
      </c>
    </row>
    <row r="47">
      <c r="B47" s="6" t="inlineStr">
        <is>
          <t>Calculated Cell (do not edit)</t>
        </is>
      </c>
    </row>
    <row r="48">
      <c r="B48" s="7" t="inlineStr">
        <is>
          <t>OK (&lt; 70% utilization)</t>
        </is>
      </c>
    </row>
    <row r="49">
      <c r="B49" s="8" t="inlineStr">
        <is>
          <t>Warning (70-90% utilization)</t>
        </is>
      </c>
    </row>
    <row r="50">
      <c r="B50" s="9" t="inlineStr">
        <is>
          <t>Critical (&gt; 90% utilization)</t>
        </is>
      </c>
    </row>
    <row r="53">
      <c r="B53" s="2" t="inlineStr">
        <is>
          <t>VERSION HISTORY</t>
        </is>
      </c>
    </row>
    <row r="55">
      <c r="B55" t="inlineStr">
        <is>
          <t>v1.0 - Initial release</t>
        </is>
      </c>
    </row>
    <row r="56">
      <c r="B56" t="inlineStr">
        <is>
          <t>Created: January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B2:F4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5" customWidth="1" min="4" max="4"/>
    <col width="15" customWidth="1" min="5" max="5"/>
    <col width="20" customWidth="1" min="6" max="6"/>
  </cols>
  <sheetData>
    <row r="2">
      <c r="B2" s="1" t="inlineStr">
        <is>
          <t>INPUTS - CURRENT STATE</t>
        </is>
      </c>
    </row>
    <row r="3">
      <c r="B3" s="10" t="inlineStr">
        <is>
          <t>Enter values in BLUE cells. Gray cells are calculated.</t>
        </is>
      </c>
    </row>
    <row r="5">
      <c r="B5" s="2" t="inlineStr">
        <is>
          <t>SECTION 1: STAFFING LEVELS</t>
        </is>
      </c>
    </row>
    <row r="7">
      <c r="B7" s="11" t="inlineStr">
        <is>
          <t>Role</t>
        </is>
      </c>
      <c r="C7" s="11" t="inlineStr">
        <is>
          <t>Current Headcount (FTE)</t>
        </is>
      </c>
      <c r="D7" s="11" t="inlineStr">
        <is>
          <t>Capacity per Person</t>
        </is>
      </c>
      <c r="E7" s="11" t="inlineStr">
        <is>
          <t>Capacity Unit</t>
        </is>
      </c>
      <c r="F7" s="11" t="inlineStr">
        <is>
          <t>Total Daily Capacity</t>
        </is>
      </c>
    </row>
    <row r="8">
      <c r="B8" s="4" t="inlineStr">
        <is>
          <t>Account Executives</t>
        </is>
      </c>
      <c r="C8" s="12" t="n">
        <v>4</v>
      </c>
      <c r="D8" s="12" t="n">
        <v>15</v>
      </c>
      <c r="E8" s="4" t="inlineStr">
        <is>
          <t>deals/month</t>
        </is>
      </c>
      <c r="F8" s="13">
        <f>'INPUTS - Current State'!C8*'INPUTS - Current State'!D8/22</f>
        <v/>
      </c>
    </row>
    <row r="9">
      <c r="B9" s="4" t="inlineStr">
        <is>
          <t>Account Managers</t>
        </is>
      </c>
      <c r="C9" s="12" t="n">
        <v>6</v>
      </c>
      <c r="D9" s="12" t="n">
        <v>150</v>
      </c>
      <c r="E9" s="4" t="inlineStr">
        <is>
          <t>accounts managed</t>
        </is>
      </c>
      <c r="F9" s="13">
        <f>C9</f>
        <v/>
      </c>
    </row>
    <row r="10">
      <c r="B10" s="4" t="inlineStr">
        <is>
          <t>Pharmacists (Compounding)</t>
        </is>
      </c>
      <c r="C10" s="12" t="n">
        <v>6</v>
      </c>
      <c r="D10" s="12" t="n">
        <v>50</v>
      </c>
      <c r="E10" s="4" t="inlineStr">
        <is>
          <t>compounds/day</t>
        </is>
      </c>
      <c r="F10" s="13">
        <f>C10*D10</f>
        <v/>
      </c>
    </row>
    <row r="11">
      <c r="B11" s="4" t="inlineStr">
        <is>
          <t>PV1 Techs</t>
        </is>
      </c>
      <c r="C11" s="12" t="n">
        <v>4</v>
      </c>
      <c r="D11" s="12" t="n">
        <v>200</v>
      </c>
      <c r="E11" s="4" t="inlineStr">
        <is>
          <t>validations/day</t>
        </is>
      </c>
      <c r="F11" s="13">
        <f>C11*D11</f>
        <v/>
      </c>
    </row>
    <row r="12">
      <c r="B12" s="4" t="inlineStr">
        <is>
          <t>PV2 Techs</t>
        </is>
      </c>
      <c r="C12" s="12" t="n">
        <v>3</v>
      </c>
      <c r="D12" s="12" t="n">
        <v>160</v>
      </c>
      <c r="E12" s="4" t="inlineStr">
        <is>
          <t>validations/day</t>
        </is>
      </c>
      <c r="F12" s="13">
        <f>C12*D12</f>
        <v/>
      </c>
    </row>
    <row r="13">
      <c r="B13" s="4" t="inlineStr">
        <is>
          <t>Fulfillment Staff</t>
        </is>
      </c>
      <c r="C13" s="12" t="n">
        <v>8</v>
      </c>
      <c r="D13" s="12" t="n">
        <v>120</v>
      </c>
      <c r="E13" s="4" t="inlineStr">
        <is>
          <t>orders/day</t>
        </is>
      </c>
      <c r="F13" s="13">
        <f>C13*D13</f>
        <v/>
      </c>
    </row>
    <row r="16">
      <c r="B16" s="2" t="inlineStr">
        <is>
          <t>SECTION 2: CURRENT ORDER VOLUME</t>
        </is>
      </c>
    </row>
    <row r="18">
      <c r="B18" s="4" t="inlineStr">
        <is>
          <t>Baseline Daily Orders (average)</t>
        </is>
      </c>
      <c r="C18" s="5" t="n">
        <v>800</v>
      </c>
    </row>
    <row r="19">
      <c r="B19" s="4" t="inlineStr">
        <is>
          <t>Working Days per Week</t>
        </is>
      </c>
      <c r="C19" s="5" t="n">
        <v>5</v>
      </c>
    </row>
    <row r="20">
      <c r="B20" s="4" t="inlineStr">
        <is>
          <t>Weekly Orders</t>
        </is>
      </c>
      <c r="C20" s="6">
        <f>C18*C19</f>
        <v/>
      </c>
    </row>
    <row r="21">
      <c r="B21" s="4" t="inlineStr">
        <is>
          <t>Monthly Orders (approx)</t>
        </is>
      </c>
      <c r="C21" s="6">
        <f>C20*4.33</f>
        <v/>
      </c>
    </row>
    <row r="24">
      <c r="B24" s="2" t="inlineStr">
        <is>
          <t>SECTION 3: GROWTH ASSUMPTIONS</t>
        </is>
      </c>
    </row>
    <row r="26">
      <c r="B26" s="4" t="inlineStr">
        <is>
          <t>Monthly Growth Rate (%)</t>
        </is>
      </c>
      <c r="C26" s="5" t="n">
        <v>5</v>
      </c>
      <c r="D26" t="inlineStr">
        <is>
          <t>%</t>
        </is>
      </c>
    </row>
    <row r="27">
      <c r="B27" s="4" t="inlineStr">
        <is>
          <t>Weekly Growth Rate (%)</t>
        </is>
      </c>
      <c r="C27" s="14">
        <f>C26/4.33</f>
        <v/>
      </c>
      <c r="D27" t="inlineStr">
        <is>
          <t>%</t>
        </is>
      </c>
    </row>
    <row r="28">
      <c r="B28" s="4" t="inlineStr">
        <is>
          <t>Forecast Period (weeks)</t>
        </is>
      </c>
      <c r="C28" s="5" t="n">
        <v>52</v>
      </c>
    </row>
    <row r="31">
      <c r="B31" s="2" t="inlineStr">
        <is>
          <t>SECTION 4: FACILITY &amp; EQUIPMENT</t>
        </is>
      </c>
    </row>
    <row r="33">
      <c r="B33" s="11" t="inlineStr">
        <is>
          <t>Resource</t>
        </is>
      </c>
      <c r="C33" s="11" t="inlineStr">
        <is>
          <t>Current Available</t>
        </is>
      </c>
      <c r="D33" s="11" t="inlineStr">
        <is>
          <t>Max Capacity</t>
        </is>
      </c>
      <c r="E33" s="11" t="inlineStr">
        <is>
          <t>Orders per Unit/Day</t>
        </is>
      </c>
    </row>
    <row r="34">
      <c r="B34" s="4" t="inlineStr">
        <is>
          <t>Compounding Hoods</t>
        </is>
      </c>
      <c r="C34" s="12" t="n">
        <v>6</v>
      </c>
      <c r="D34" s="12" t="n">
        <v>8</v>
      </c>
      <c r="E34" s="12" t="n">
        <v>60</v>
      </c>
    </row>
    <row r="35">
      <c r="B35" s="4" t="inlineStr">
        <is>
          <t>Storage (sq ft)</t>
        </is>
      </c>
      <c r="C35" s="12" t="n">
        <v>8000</v>
      </c>
      <c r="D35" s="12" t="n">
        <v>12000</v>
      </c>
      <c r="E35" s="12" t="n">
        <v>10</v>
      </c>
    </row>
    <row r="36">
      <c r="B36" s="4" t="inlineStr">
        <is>
          <t>Packing Stations</t>
        </is>
      </c>
      <c r="C36" s="12" t="n">
        <v>10</v>
      </c>
      <c r="D36" s="12" t="n">
        <v>15</v>
      </c>
      <c r="E36" s="12" t="n">
        <v>100</v>
      </c>
    </row>
    <row r="39">
      <c r="B39" s="2" t="inlineStr">
        <is>
          <t>SECTION 5: EQUIPMENT ADDITIONS</t>
        </is>
      </c>
    </row>
    <row r="41">
      <c r="B41" s="4" t="inlineStr">
        <is>
          <t>Vial Filling Machine Delivery (Week)</t>
        </is>
      </c>
      <c r="C41" s="5" t="n">
        <v>10</v>
      </c>
    </row>
    <row r="42">
      <c r="B42" s="4" t="inlineStr">
        <is>
          <t>Vial Machine Capacity Boost (%)</t>
        </is>
      </c>
      <c r="C42" s="5" t="n">
        <v>20</v>
      </c>
      <c r="D42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98DB"/>
    <outlinePr summaryBelow="1" summaryRight="1"/>
    <pageSetUpPr/>
  </sheetPr>
  <dimension ref="B2:F39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2">
      <c r="B2" s="1" t="inlineStr">
        <is>
          <t>INPUTS - SCENARIOS</t>
        </is>
      </c>
    </row>
    <row r="3">
      <c r="B3" s="10" t="inlineStr">
        <is>
          <t>Define up to 3 scenarios with different growth rates and hiring plans</t>
        </is>
      </c>
    </row>
    <row r="5">
      <c r="B5" s="2" t="inlineStr">
        <is>
          <t>SECTION 1: SCENARIO DEFINITIONS</t>
        </is>
      </c>
    </row>
    <row r="7">
      <c r="B7" s="11" t="inlineStr">
        <is>
          <t>Parameter</t>
        </is>
      </c>
      <c r="C7" s="11" t="inlineStr">
        <is>
          <t>Baseline</t>
        </is>
      </c>
      <c r="D7" s="11" t="inlineStr">
        <is>
          <t>Optimistic</t>
        </is>
      </c>
      <c r="E7" s="11" t="inlineStr">
        <is>
          <t>Pessimistic</t>
        </is>
      </c>
    </row>
    <row r="8">
      <c r="B8" s="4" t="inlineStr">
        <is>
          <t>Monthly Growth Rate (%)</t>
        </is>
      </c>
      <c r="C8" s="12" t="n">
        <v>5</v>
      </c>
      <c r="D8" s="12" t="n">
        <v>7</v>
      </c>
      <c r="E8" s="12" t="n">
        <v>3</v>
      </c>
    </row>
    <row r="9">
      <c r="B9" s="4" t="inlineStr">
        <is>
          <t>Description</t>
        </is>
      </c>
      <c r="C9" s="5" t="inlineStr">
        <is>
          <t>Current trajectory</t>
        </is>
      </c>
      <c r="D9" s="5" t="inlineStr">
        <is>
          <t>Aggressive growth</t>
        </is>
      </c>
      <c r="E9" s="5" t="inlineStr">
        <is>
          <t>Conservative</t>
        </is>
      </c>
    </row>
    <row r="12">
      <c r="B12" s="2" t="inlineStr">
        <is>
          <t>SECTION 2: BASELINE SCENARIO - HIRING PLAN</t>
        </is>
      </c>
    </row>
    <row r="14">
      <c r="B14" s="15" t="inlineStr">
        <is>
          <t>Role</t>
        </is>
      </c>
      <c r="C14" s="15" t="inlineStr">
        <is>
          <t># to Hire</t>
        </is>
      </c>
      <c r="D14" s="15" t="inlineStr">
        <is>
          <t>Week Hired</t>
        </is>
      </c>
      <c r="E14" s="15" t="inlineStr">
        <is>
          <t>Onboarding (weeks)</t>
        </is>
      </c>
      <c r="F14" s="15" t="inlineStr">
        <is>
          <t>Notes</t>
        </is>
      </c>
    </row>
    <row r="15">
      <c r="B15" s="5" t="inlineStr">
        <is>
          <t>PV2 Techs</t>
        </is>
      </c>
      <c r="C15" s="12" t="n">
        <v>2</v>
      </c>
      <c r="D15" s="12" t="n">
        <v>8</v>
      </c>
      <c r="E15" s="12" t="n">
        <v>2</v>
      </c>
      <c r="F15" s="5" t="inlineStr">
        <is>
          <t>Address current bottleneck</t>
        </is>
      </c>
    </row>
    <row r="16">
      <c r="B16" s="5" t="inlineStr">
        <is>
          <t>Fulfillment Staff</t>
        </is>
      </c>
      <c r="C16" s="12" t="n">
        <v>1</v>
      </c>
      <c r="D16" s="12" t="n">
        <v>12</v>
      </c>
      <c r="E16" s="12" t="n">
        <v>1</v>
      </c>
      <c r="F16" s="5" t="inlineStr">
        <is>
          <t>Prepare for increased volume</t>
        </is>
      </c>
    </row>
    <row r="17">
      <c r="B17" s="5" t="inlineStr">
        <is>
          <t>Pharmacists</t>
        </is>
      </c>
      <c r="C17" s="12" t="n">
        <v>1</v>
      </c>
      <c r="D17" s="12" t="n">
        <v>20</v>
      </c>
      <c r="E17" s="12" t="n">
        <v>4</v>
      </c>
      <c r="F17" s="5" t="inlineStr">
        <is>
          <t>Long onboarding for compounding</t>
        </is>
      </c>
    </row>
    <row r="18">
      <c r="B18" s="5" t="inlineStr">
        <is>
          <t>PV1 Techs</t>
        </is>
      </c>
      <c r="C18" s="12" t="n">
        <v>1</v>
      </c>
      <c r="D18" s="12" t="n">
        <v>16</v>
      </c>
      <c r="E18" s="12" t="n">
        <v>2</v>
      </c>
      <c r="F18" s="5" t="inlineStr"/>
    </row>
    <row r="19">
      <c r="B19" s="5" t="inlineStr"/>
      <c r="C19" s="12" t="n"/>
      <c r="D19" s="12" t="n"/>
      <c r="E19" s="12" t="n"/>
      <c r="F19" s="5" t="inlineStr"/>
    </row>
    <row r="22">
      <c r="B22" s="2" t="inlineStr">
        <is>
          <t>SECTION 3: OPTIMISTIC SCENARIO - HIRING PLAN</t>
        </is>
      </c>
    </row>
    <row r="24">
      <c r="B24" s="15" t="inlineStr">
        <is>
          <t>Role</t>
        </is>
      </c>
      <c r="C24" s="15" t="inlineStr">
        <is>
          <t># to Hire</t>
        </is>
      </c>
      <c r="D24" s="15" t="inlineStr">
        <is>
          <t>Week Hired</t>
        </is>
      </c>
      <c r="E24" s="15" t="inlineStr">
        <is>
          <t>Onboarding (weeks)</t>
        </is>
      </c>
      <c r="F24" s="15" t="inlineStr">
        <is>
          <t>Notes</t>
        </is>
      </c>
    </row>
    <row r="25">
      <c r="B25" s="5" t="inlineStr">
        <is>
          <t>PV2 Techs</t>
        </is>
      </c>
      <c r="C25" s="12" t="n">
        <v>3</v>
      </c>
      <c r="D25" s="12" t="n">
        <v>6</v>
      </c>
      <c r="E25" s="12" t="n">
        <v>2</v>
      </c>
      <c r="F25" s="5" t="inlineStr">
        <is>
          <t>Earlier and more aggressive</t>
        </is>
      </c>
    </row>
    <row r="26">
      <c r="B26" s="5" t="inlineStr">
        <is>
          <t>Fulfillment Staff</t>
        </is>
      </c>
      <c r="C26" s="12" t="n">
        <v>2</v>
      </c>
      <c r="D26" s="12" t="n">
        <v>10</v>
      </c>
      <c r="E26" s="12" t="n">
        <v>1</v>
      </c>
      <c r="F26" s="5" t="inlineStr">
        <is>
          <t>Double the baseline</t>
        </is>
      </c>
    </row>
    <row r="27">
      <c r="B27" s="5" t="inlineStr">
        <is>
          <t>Pharmacists</t>
        </is>
      </c>
      <c r="C27" s="12" t="n">
        <v>2</v>
      </c>
      <c r="D27" s="12" t="n">
        <v>16</v>
      </c>
      <c r="E27" s="12" t="n">
        <v>4</v>
      </c>
      <c r="F27" s="5" t="inlineStr">
        <is>
          <t>Support higher volume</t>
        </is>
      </c>
    </row>
    <row r="28">
      <c r="B28" s="5" t="inlineStr">
        <is>
          <t>PV1 Techs</t>
        </is>
      </c>
      <c r="C28" s="12" t="n">
        <v>2</v>
      </c>
      <c r="D28" s="12" t="n">
        <v>12</v>
      </c>
      <c r="E28" s="12" t="n">
        <v>2</v>
      </c>
      <c r="F28" s="5" t="inlineStr"/>
    </row>
    <row r="29">
      <c r="B29" s="5" t="inlineStr"/>
      <c r="C29" s="12" t="n"/>
      <c r="D29" s="12" t="n"/>
      <c r="E29" s="12" t="n"/>
      <c r="F29" s="5" t="inlineStr"/>
    </row>
    <row r="32">
      <c r="B32" s="2" t="inlineStr">
        <is>
          <t>SECTION 4: PESSIMISTIC SCENARIO - HIRING PLAN</t>
        </is>
      </c>
    </row>
    <row r="34">
      <c r="B34" s="15" t="inlineStr">
        <is>
          <t>Role</t>
        </is>
      </c>
      <c r="C34" s="15" t="inlineStr">
        <is>
          <t># to Hire</t>
        </is>
      </c>
      <c r="D34" s="15" t="inlineStr">
        <is>
          <t>Week Hired</t>
        </is>
      </c>
      <c r="E34" s="15" t="inlineStr">
        <is>
          <t>Onboarding (weeks)</t>
        </is>
      </c>
      <c r="F34" s="15" t="inlineStr">
        <is>
          <t>Notes</t>
        </is>
      </c>
    </row>
    <row r="35">
      <c r="B35" s="5" t="inlineStr">
        <is>
          <t>PV2 Techs</t>
        </is>
      </c>
      <c r="C35" s="12" t="n">
        <v>1</v>
      </c>
      <c r="D35" s="12" t="n">
        <v>12</v>
      </c>
      <c r="E35" s="12" t="n">
        <v>2</v>
      </c>
      <c r="F35" s="5" t="inlineStr">
        <is>
          <t>Minimal hiring</t>
        </is>
      </c>
    </row>
    <row r="36">
      <c r="B36" s="5" t="inlineStr">
        <is>
          <t>Fulfillment Staff</t>
        </is>
      </c>
      <c r="C36" s="12" t="n">
        <v>1</v>
      </c>
      <c r="D36" s="12" t="n">
        <v>20</v>
      </c>
      <c r="E36" s="12" t="n">
        <v>1</v>
      </c>
      <c r="F36" s="5" t="inlineStr">
        <is>
          <t>Only if needed</t>
        </is>
      </c>
    </row>
    <row r="37">
      <c r="B37" s="5" t="inlineStr"/>
      <c r="C37" s="12" t="n"/>
      <c r="D37" s="12" t="n"/>
      <c r="E37" s="12" t="n"/>
      <c r="F37" s="5" t="inlineStr"/>
    </row>
    <row r="38">
      <c r="B38" s="5" t="inlineStr"/>
      <c r="C38" s="12" t="n"/>
      <c r="D38" s="12" t="n"/>
      <c r="E38" s="12" t="n"/>
      <c r="F38" s="5" t="inlineStr"/>
    </row>
    <row r="39">
      <c r="B39" s="5" t="inlineStr"/>
      <c r="C39" s="12" t="n"/>
      <c r="D39" s="12" t="n"/>
      <c r="E39" s="12" t="n"/>
      <c r="F3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8A745"/>
    <outlinePr summaryBelow="1" summaryRight="1"/>
    <pageSetUpPr/>
  </sheetPr>
  <dimension ref="B2:F63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5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DEMAND FORECAST</t>
        </is>
      </c>
    </row>
    <row r="3">
      <c r="B3" s="10" t="inlineStr">
        <is>
          <t>52-week order projections based on growth assumptions</t>
        </is>
      </c>
    </row>
    <row r="5">
      <c r="B5" t="inlineStr">
        <is>
          <t>Growth Rate (Monthly):</t>
        </is>
      </c>
      <c r="C5" s="16">
        <f>'INPUTS - Current State'!C26</f>
        <v/>
      </c>
      <c r="D5" t="inlineStr">
        <is>
          <t>%</t>
        </is>
      </c>
    </row>
    <row r="6">
      <c r="B6" t="inlineStr">
        <is>
          <t>Weekly Growth Rate:</t>
        </is>
      </c>
      <c r="C6" s="17">
        <f>C5/4.33</f>
        <v/>
      </c>
      <c r="D6" t="inlineStr">
        <is>
          <t>%</t>
        </is>
      </c>
    </row>
    <row r="7">
      <c r="B7" t="inlineStr">
        <is>
          <t>Starting Daily Orders:</t>
        </is>
      </c>
      <c r="C7" s="16">
        <f>'INPUTS - Current State'!C18</f>
        <v/>
      </c>
    </row>
    <row r="8">
      <c r="B8" t="inlineStr">
        <is>
          <t>Working Days/Week:</t>
        </is>
      </c>
      <c r="C8" s="16">
        <f>'INPUTS - Current State'!C19</f>
        <v/>
      </c>
    </row>
    <row r="11">
      <c r="B11" s="11" t="inlineStr">
        <is>
          <t>Week</t>
        </is>
      </c>
      <c r="C11" s="11" t="inlineStr">
        <is>
          <t>Daily Orders</t>
        </is>
      </c>
      <c r="D11" s="11" t="inlineStr">
        <is>
          <t>Weekly Orders</t>
        </is>
      </c>
      <c r="E11" s="11" t="inlineStr">
        <is>
          <t>Monthly Orders (approx)</t>
        </is>
      </c>
      <c r="F11" s="11" t="inlineStr">
        <is>
          <t>Cumulative Orders</t>
        </is>
      </c>
    </row>
    <row r="12">
      <c r="B12" s="18" t="n">
        <v>1</v>
      </c>
      <c r="C12" s="19">
        <f>$C$7</f>
        <v/>
      </c>
      <c r="D12" s="19">
        <f>C12*$C$8</f>
        <v/>
      </c>
      <c r="E12" s="19">
        <f>D12*4.33</f>
        <v/>
      </c>
      <c r="F12" s="19">
        <f>D12</f>
        <v/>
      </c>
    </row>
    <row r="13">
      <c r="B13" s="18" t="n">
        <v>2</v>
      </c>
      <c r="C13" s="19">
        <f>B12*C12*(1+$C$6/100)/$C$8</f>
        <v/>
      </c>
      <c r="D13" s="19">
        <f>C13*$C$8</f>
        <v/>
      </c>
      <c r="E13" s="19">
        <f>D13*4.33</f>
        <v/>
      </c>
      <c r="F13" s="19">
        <f>F12+D13</f>
        <v/>
      </c>
    </row>
    <row r="14">
      <c r="B14" s="18" t="n">
        <v>3</v>
      </c>
      <c r="C14" s="19">
        <f>B13*C13*(1+$C$6/100)/$C$8</f>
        <v/>
      </c>
      <c r="D14" s="19">
        <f>C14*$C$8</f>
        <v/>
      </c>
      <c r="E14" s="19">
        <f>D14*4.33</f>
        <v/>
      </c>
      <c r="F14" s="19">
        <f>F13+D14</f>
        <v/>
      </c>
    </row>
    <row r="15">
      <c r="B15" s="18" t="n">
        <v>4</v>
      </c>
      <c r="C15" s="19">
        <f>B14*C14*(1+$C$6/100)/$C$8</f>
        <v/>
      </c>
      <c r="D15" s="19">
        <f>C15*$C$8</f>
        <v/>
      </c>
      <c r="E15" s="19">
        <f>D15*4.33</f>
        <v/>
      </c>
      <c r="F15" s="19">
        <f>F14+D15</f>
        <v/>
      </c>
    </row>
    <row r="16">
      <c r="B16" s="18" t="n">
        <v>5</v>
      </c>
      <c r="C16" s="19">
        <f>B15*C15*(1+$C$6/100)/$C$8</f>
        <v/>
      </c>
      <c r="D16" s="19">
        <f>C16*$C$8</f>
        <v/>
      </c>
      <c r="E16" s="19">
        <f>D16*4.33</f>
        <v/>
      </c>
      <c r="F16" s="19">
        <f>F15+D16</f>
        <v/>
      </c>
    </row>
    <row r="17">
      <c r="B17" s="18" t="n">
        <v>6</v>
      </c>
      <c r="C17" s="19">
        <f>B16*C16*(1+$C$6/100)/$C$8</f>
        <v/>
      </c>
      <c r="D17" s="19">
        <f>C17*$C$8</f>
        <v/>
      </c>
      <c r="E17" s="19">
        <f>D17*4.33</f>
        <v/>
      </c>
      <c r="F17" s="19">
        <f>F16+D17</f>
        <v/>
      </c>
    </row>
    <row r="18">
      <c r="B18" s="18" t="n">
        <v>7</v>
      </c>
      <c r="C18" s="19">
        <f>B17*C17*(1+$C$6/100)/$C$8</f>
        <v/>
      </c>
      <c r="D18" s="19">
        <f>C18*$C$8</f>
        <v/>
      </c>
      <c r="E18" s="19">
        <f>D18*4.33</f>
        <v/>
      </c>
      <c r="F18" s="19">
        <f>F17+D18</f>
        <v/>
      </c>
    </row>
    <row r="19">
      <c r="B19" s="18" t="n">
        <v>8</v>
      </c>
      <c r="C19" s="19">
        <f>B18*C18*(1+$C$6/100)/$C$8</f>
        <v/>
      </c>
      <c r="D19" s="19">
        <f>C19*$C$8</f>
        <v/>
      </c>
      <c r="E19" s="19">
        <f>D19*4.33</f>
        <v/>
      </c>
      <c r="F19" s="19">
        <f>F18+D19</f>
        <v/>
      </c>
    </row>
    <row r="20">
      <c r="B20" s="18" t="n">
        <v>9</v>
      </c>
      <c r="C20" s="19">
        <f>B19*C19*(1+$C$6/100)/$C$8</f>
        <v/>
      </c>
      <c r="D20" s="19">
        <f>C20*$C$8</f>
        <v/>
      </c>
      <c r="E20" s="19">
        <f>D20*4.33</f>
        <v/>
      </c>
      <c r="F20" s="19">
        <f>F19+D20</f>
        <v/>
      </c>
    </row>
    <row r="21">
      <c r="B21" s="18" t="n">
        <v>10</v>
      </c>
      <c r="C21" s="19">
        <f>B20*C20*(1+$C$6/100)/$C$8</f>
        <v/>
      </c>
      <c r="D21" s="19">
        <f>C21*$C$8</f>
        <v/>
      </c>
      <c r="E21" s="19">
        <f>D21*4.33</f>
        <v/>
      </c>
      <c r="F21" s="19">
        <f>F20+D21</f>
        <v/>
      </c>
    </row>
    <row r="22">
      <c r="B22" s="18" t="n">
        <v>11</v>
      </c>
      <c r="C22" s="19">
        <f>B21*C21*(1+$C$6/100)/$C$8</f>
        <v/>
      </c>
      <c r="D22" s="19">
        <f>C22*$C$8</f>
        <v/>
      </c>
      <c r="E22" s="19">
        <f>D22*4.33</f>
        <v/>
      </c>
      <c r="F22" s="19">
        <f>F21+D22</f>
        <v/>
      </c>
    </row>
    <row r="23">
      <c r="B23" s="18" t="n">
        <v>12</v>
      </c>
      <c r="C23" s="19">
        <f>B22*C22*(1+$C$6/100)/$C$8</f>
        <v/>
      </c>
      <c r="D23" s="19">
        <f>C23*$C$8</f>
        <v/>
      </c>
      <c r="E23" s="19">
        <f>D23*4.33</f>
        <v/>
      </c>
      <c r="F23" s="19">
        <f>F22+D23</f>
        <v/>
      </c>
    </row>
    <row r="24">
      <c r="B24" s="18" t="n">
        <v>13</v>
      </c>
      <c r="C24" s="19">
        <f>B23*C23*(1+$C$6/100)/$C$8</f>
        <v/>
      </c>
      <c r="D24" s="19">
        <f>C24*$C$8</f>
        <v/>
      </c>
      <c r="E24" s="19">
        <f>D24*4.33</f>
        <v/>
      </c>
      <c r="F24" s="19">
        <f>F23+D24</f>
        <v/>
      </c>
    </row>
    <row r="25">
      <c r="B25" s="18" t="n">
        <v>14</v>
      </c>
      <c r="C25" s="19">
        <f>B24*C24*(1+$C$6/100)/$C$8</f>
        <v/>
      </c>
      <c r="D25" s="19">
        <f>C25*$C$8</f>
        <v/>
      </c>
      <c r="E25" s="19">
        <f>D25*4.33</f>
        <v/>
      </c>
      <c r="F25" s="19">
        <f>F24+D25</f>
        <v/>
      </c>
    </row>
    <row r="26">
      <c r="B26" s="18" t="n">
        <v>15</v>
      </c>
      <c r="C26" s="19">
        <f>B25*C25*(1+$C$6/100)/$C$8</f>
        <v/>
      </c>
      <c r="D26" s="19">
        <f>C26*$C$8</f>
        <v/>
      </c>
      <c r="E26" s="19">
        <f>D26*4.33</f>
        <v/>
      </c>
      <c r="F26" s="19">
        <f>F25+D26</f>
        <v/>
      </c>
    </row>
    <row r="27">
      <c r="B27" s="18" t="n">
        <v>16</v>
      </c>
      <c r="C27" s="19">
        <f>B26*C26*(1+$C$6/100)/$C$8</f>
        <v/>
      </c>
      <c r="D27" s="19">
        <f>C27*$C$8</f>
        <v/>
      </c>
      <c r="E27" s="19">
        <f>D27*4.33</f>
        <v/>
      </c>
      <c r="F27" s="19">
        <f>F26+D27</f>
        <v/>
      </c>
    </row>
    <row r="28">
      <c r="B28" s="18" t="n">
        <v>17</v>
      </c>
      <c r="C28" s="19">
        <f>B27*C27*(1+$C$6/100)/$C$8</f>
        <v/>
      </c>
      <c r="D28" s="19">
        <f>C28*$C$8</f>
        <v/>
      </c>
      <c r="E28" s="19">
        <f>D28*4.33</f>
        <v/>
      </c>
      <c r="F28" s="19">
        <f>F27+D28</f>
        <v/>
      </c>
    </row>
    <row r="29">
      <c r="B29" s="18" t="n">
        <v>18</v>
      </c>
      <c r="C29" s="19">
        <f>B28*C28*(1+$C$6/100)/$C$8</f>
        <v/>
      </c>
      <c r="D29" s="19">
        <f>C29*$C$8</f>
        <v/>
      </c>
      <c r="E29" s="19">
        <f>D29*4.33</f>
        <v/>
      </c>
      <c r="F29" s="19">
        <f>F28+D29</f>
        <v/>
      </c>
    </row>
    <row r="30">
      <c r="B30" s="18" t="n">
        <v>19</v>
      </c>
      <c r="C30" s="19">
        <f>B29*C29*(1+$C$6/100)/$C$8</f>
        <v/>
      </c>
      <c r="D30" s="19">
        <f>C30*$C$8</f>
        <v/>
      </c>
      <c r="E30" s="19">
        <f>D30*4.33</f>
        <v/>
      </c>
      <c r="F30" s="19">
        <f>F29+D30</f>
        <v/>
      </c>
    </row>
    <row r="31">
      <c r="B31" s="18" t="n">
        <v>20</v>
      </c>
      <c r="C31" s="19">
        <f>B30*C30*(1+$C$6/100)/$C$8</f>
        <v/>
      </c>
      <c r="D31" s="19">
        <f>C31*$C$8</f>
        <v/>
      </c>
      <c r="E31" s="19">
        <f>D31*4.33</f>
        <v/>
      </c>
      <c r="F31" s="19">
        <f>F30+D31</f>
        <v/>
      </c>
    </row>
    <row r="32">
      <c r="B32" s="18" t="n">
        <v>21</v>
      </c>
      <c r="C32" s="19">
        <f>B31*C31*(1+$C$6/100)/$C$8</f>
        <v/>
      </c>
      <c r="D32" s="19">
        <f>C32*$C$8</f>
        <v/>
      </c>
      <c r="E32" s="19">
        <f>D32*4.33</f>
        <v/>
      </c>
      <c r="F32" s="19">
        <f>F31+D32</f>
        <v/>
      </c>
    </row>
    <row r="33">
      <c r="B33" s="18" t="n">
        <v>22</v>
      </c>
      <c r="C33" s="19">
        <f>B32*C32*(1+$C$6/100)/$C$8</f>
        <v/>
      </c>
      <c r="D33" s="19">
        <f>C33*$C$8</f>
        <v/>
      </c>
      <c r="E33" s="19">
        <f>D33*4.33</f>
        <v/>
      </c>
      <c r="F33" s="19">
        <f>F32+D33</f>
        <v/>
      </c>
    </row>
    <row r="34">
      <c r="B34" s="18" t="n">
        <v>23</v>
      </c>
      <c r="C34" s="19">
        <f>B33*C33*(1+$C$6/100)/$C$8</f>
        <v/>
      </c>
      <c r="D34" s="19">
        <f>C34*$C$8</f>
        <v/>
      </c>
      <c r="E34" s="19">
        <f>D34*4.33</f>
        <v/>
      </c>
      <c r="F34" s="19">
        <f>F33+D34</f>
        <v/>
      </c>
    </row>
    <row r="35">
      <c r="B35" s="18" t="n">
        <v>24</v>
      </c>
      <c r="C35" s="19">
        <f>B34*C34*(1+$C$6/100)/$C$8</f>
        <v/>
      </c>
      <c r="D35" s="19">
        <f>C35*$C$8</f>
        <v/>
      </c>
      <c r="E35" s="19">
        <f>D35*4.33</f>
        <v/>
      </c>
      <c r="F35" s="19">
        <f>F34+D35</f>
        <v/>
      </c>
    </row>
    <row r="36">
      <c r="B36" s="18" t="n">
        <v>25</v>
      </c>
      <c r="C36" s="19">
        <f>B35*C35*(1+$C$6/100)/$C$8</f>
        <v/>
      </c>
      <c r="D36" s="19">
        <f>C36*$C$8</f>
        <v/>
      </c>
      <c r="E36" s="19">
        <f>D36*4.33</f>
        <v/>
      </c>
      <c r="F36" s="19">
        <f>F35+D36</f>
        <v/>
      </c>
    </row>
    <row r="37">
      <c r="B37" s="18" t="n">
        <v>26</v>
      </c>
      <c r="C37" s="19">
        <f>B36*C36*(1+$C$6/100)/$C$8</f>
        <v/>
      </c>
      <c r="D37" s="19">
        <f>C37*$C$8</f>
        <v/>
      </c>
      <c r="E37" s="19">
        <f>D37*4.33</f>
        <v/>
      </c>
      <c r="F37" s="19">
        <f>F36+D37</f>
        <v/>
      </c>
    </row>
    <row r="38">
      <c r="B38" s="18" t="n">
        <v>27</v>
      </c>
      <c r="C38" s="19">
        <f>B37*C37*(1+$C$6/100)/$C$8</f>
        <v/>
      </c>
      <c r="D38" s="19">
        <f>C38*$C$8</f>
        <v/>
      </c>
      <c r="E38" s="19">
        <f>D38*4.33</f>
        <v/>
      </c>
      <c r="F38" s="19">
        <f>F37+D38</f>
        <v/>
      </c>
    </row>
    <row r="39">
      <c r="B39" s="18" t="n">
        <v>28</v>
      </c>
      <c r="C39" s="19">
        <f>B38*C38*(1+$C$6/100)/$C$8</f>
        <v/>
      </c>
      <c r="D39" s="19">
        <f>C39*$C$8</f>
        <v/>
      </c>
      <c r="E39" s="19">
        <f>D39*4.33</f>
        <v/>
      </c>
      <c r="F39" s="19">
        <f>F38+D39</f>
        <v/>
      </c>
    </row>
    <row r="40">
      <c r="B40" s="18" t="n">
        <v>29</v>
      </c>
      <c r="C40" s="19">
        <f>B39*C39*(1+$C$6/100)/$C$8</f>
        <v/>
      </c>
      <c r="D40" s="19">
        <f>C40*$C$8</f>
        <v/>
      </c>
      <c r="E40" s="19">
        <f>D40*4.33</f>
        <v/>
      </c>
      <c r="F40" s="19">
        <f>F39+D40</f>
        <v/>
      </c>
    </row>
    <row r="41">
      <c r="B41" s="18" t="n">
        <v>30</v>
      </c>
      <c r="C41" s="19">
        <f>B40*C40*(1+$C$6/100)/$C$8</f>
        <v/>
      </c>
      <c r="D41" s="19">
        <f>C41*$C$8</f>
        <v/>
      </c>
      <c r="E41" s="19">
        <f>D41*4.33</f>
        <v/>
      </c>
      <c r="F41" s="19">
        <f>F40+D41</f>
        <v/>
      </c>
    </row>
    <row r="42">
      <c r="B42" s="18" t="n">
        <v>31</v>
      </c>
      <c r="C42" s="19">
        <f>B41*C41*(1+$C$6/100)/$C$8</f>
        <v/>
      </c>
      <c r="D42" s="19">
        <f>C42*$C$8</f>
        <v/>
      </c>
      <c r="E42" s="19">
        <f>D42*4.33</f>
        <v/>
      </c>
      <c r="F42" s="19">
        <f>F41+D42</f>
        <v/>
      </c>
    </row>
    <row r="43">
      <c r="B43" s="18" t="n">
        <v>32</v>
      </c>
      <c r="C43" s="19">
        <f>B42*C42*(1+$C$6/100)/$C$8</f>
        <v/>
      </c>
      <c r="D43" s="19">
        <f>C43*$C$8</f>
        <v/>
      </c>
      <c r="E43" s="19">
        <f>D43*4.33</f>
        <v/>
      </c>
      <c r="F43" s="19">
        <f>F42+D43</f>
        <v/>
      </c>
    </row>
    <row r="44">
      <c r="B44" s="18" t="n">
        <v>33</v>
      </c>
      <c r="C44" s="19">
        <f>B43*C43*(1+$C$6/100)/$C$8</f>
        <v/>
      </c>
      <c r="D44" s="19">
        <f>C44*$C$8</f>
        <v/>
      </c>
      <c r="E44" s="19">
        <f>D44*4.33</f>
        <v/>
      </c>
      <c r="F44" s="19">
        <f>F43+D44</f>
        <v/>
      </c>
    </row>
    <row r="45">
      <c r="B45" s="18" t="n">
        <v>34</v>
      </c>
      <c r="C45" s="19">
        <f>B44*C44*(1+$C$6/100)/$C$8</f>
        <v/>
      </c>
      <c r="D45" s="19">
        <f>C45*$C$8</f>
        <v/>
      </c>
      <c r="E45" s="19">
        <f>D45*4.33</f>
        <v/>
      </c>
      <c r="F45" s="19">
        <f>F44+D45</f>
        <v/>
      </c>
    </row>
    <row r="46">
      <c r="B46" s="18" t="n">
        <v>35</v>
      </c>
      <c r="C46" s="19">
        <f>B45*C45*(1+$C$6/100)/$C$8</f>
        <v/>
      </c>
      <c r="D46" s="19">
        <f>C46*$C$8</f>
        <v/>
      </c>
      <c r="E46" s="19">
        <f>D46*4.33</f>
        <v/>
      </c>
      <c r="F46" s="19">
        <f>F45+D46</f>
        <v/>
      </c>
    </row>
    <row r="47">
      <c r="B47" s="18" t="n">
        <v>36</v>
      </c>
      <c r="C47" s="19">
        <f>B46*C46*(1+$C$6/100)/$C$8</f>
        <v/>
      </c>
      <c r="D47" s="19">
        <f>C47*$C$8</f>
        <v/>
      </c>
      <c r="E47" s="19">
        <f>D47*4.33</f>
        <v/>
      </c>
      <c r="F47" s="19">
        <f>F46+D47</f>
        <v/>
      </c>
    </row>
    <row r="48">
      <c r="B48" s="18" t="n">
        <v>37</v>
      </c>
      <c r="C48" s="19">
        <f>B47*C47*(1+$C$6/100)/$C$8</f>
        <v/>
      </c>
      <c r="D48" s="19">
        <f>C48*$C$8</f>
        <v/>
      </c>
      <c r="E48" s="19">
        <f>D48*4.33</f>
        <v/>
      </c>
      <c r="F48" s="19">
        <f>F47+D48</f>
        <v/>
      </c>
    </row>
    <row r="49">
      <c r="B49" s="18" t="n">
        <v>38</v>
      </c>
      <c r="C49" s="19">
        <f>B48*C48*(1+$C$6/100)/$C$8</f>
        <v/>
      </c>
      <c r="D49" s="19">
        <f>C49*$C$8</f>
        <v/>
      </c>
      <c r="E49" s="19">
        <f>D49*4.33</f>
        <v/>
      </c>
      <c r="F49" s="19">
        <f>F48+D49</f>
        <v/>
      </c>
    </row>
    <row r="50">
      <c r="B50" s="18" t="n">
        <v>39</v>
      </c>
      <c r="C50" s="19">
        <f>B49*C49*(1+$C$6/100)/$C$8</f>
        <v/>
      </c>
      <c r="D50" s="19">
        <f>C50*$C$8</f>
        <v/>
      </c>
      <c r="E50" s="19">
        <f>D50*4.33</f>
        <v/>
      </c>
      <c r="F50" s="19">
        <f>F49+D50</f>
        <v/>
      </c>
    </row>
    <row r="51">
      <c r="B51" s="18" t="n">
        <v>40</v>
      </c>
      <c r="C51" s="19">
        <f>B50*C50*(1+$C$6/100)/$C$8</f>
        <v/>
      </c>
      <c r="D51" s="19">
        <f>C51*$C$8</f>
        <v/>
      </c>
      <c r="E51" s="19">
        <f>D51*4.33</f>
        <v/>
      </c>
      <c r="F51" s="19">
        <f>F50+D51</f>
        <v/>
      </c>
    </row>
    <row r="52">
      <c r="B52" s="18" t="n">
        <v>41</v>
      </c>
      <c r="C52" s="19">
        <f>B51*C51*(1+$C$6/100)/$C$8</f>
        <v/>
      </c>
      <c r="D52" s="19">
        <f>C52*$C$8</f>
        <v/>
      </c>
      <c r="E52" s="19">
        <f>D52*4.33</f>
        <v/>
      </c>
      <c r="F52" s="19">
        <f>F51+D52</f>
        <v/>
      </c>
    </row>
    <row r="53">
      <c r="B53" s="18" t="n">
        <v>42</v>
      </c>
      <c r="C53" s="19">
        <f>B52*C52*(1+$C$6/100)/$C$8</f>
        <v/>
      </c>
      <c r="D53" s="19">
        <f>C53*$C$8</f>
        <v/>
      </c>
      <c r="E53" s="19">
        <f>D53*4.33</f>
        <v/>
      </c>
      <c r="F53" s="19">
        <f>F52+D53</f>
        <v/>
      </c>
    </row>
    <row r="54">
      <c r="B54" s="18" t="n">
        <v>43</v>
      </c>
      <c r="C54" s="19">
        <f>B53*C53*(1+$C$6/100)/$C$8</f>
        <v/>
      </c>
      <c r="D54" s="19">
        <f>C54*$C$8</f>
        <v/>
      </c>
      <c r="E54" s="19">
        <f>D54*4.33</f>
        <v/>
      </c>
      <c r="F54" s="19">
        <f>F53+D54</f>
        <v/>
      </c>
    </row>
    <row r="55">
      <c r="B55" s="18" t="n">
        <v>44</v>
      </c>
      <c r="C55" s="19">
        <f>B54*C54*(1+$C$6/100)/$C$8</f>
        <v/>
      </c>
      <c r="D55" s="19">
        <f>C55*$C$8</f>
        <v/>
      </c>
      <c r="E55" s="19">
        <f>D55*4.33</f>
        <v/>
      </c>
      <c r="F55" s="19">
        <f>F54+D55</f>
        <v/>
      </c>
    </row>
    <row r="56">
      <c r="B56" s="18" t="n">
        <v>45</v>
      </c>
      <c r="C56" s="19">
        <f>B55*C55*(1+$C$6/100)/$C$8</f>
        <v/>
      </c>
      <c r="D56" s="19">
        <f>C56*$C$8</f>
        <v/>
      </c>
      <c r="E56" s="19">
        <f>D56*4.33</f>
        <v/>
      </c>
      <c r="F56" s="19">
        <f>F55+D56</f>
        <v/>
      </c>
    </row>
    <row r="57">
      <c r="B57" s="18" t="n">
        <v>46</v>
      </c>
      <c r="C57" s="19">
        <f>B56*C56*(1+$C$6/100)/$C$8</f>
        <v/>
      </c>
      <c r="D57" s="19">
        <f>C57*$C$8</f>
        <v/>
      </c>
      <c r="E57" s="19">
        <f>D57*4.33</f>
        <v/>
      </c>
      <c r="F57" s="19">
        <f>F56+D57</f>
        <v/>
      </c>
    </row>
    <row r="58">
      <c r="B58" s="18" t="n">
        <v>47</v>
      </c>
      <c r="C58" s="19">
        <f>B57*C57*(1+$C$6/100)/$C$8</f>
        <v/>
      </c>
      <c r="D58" s="19">
        <f>C58*$C$8</f>
        <v/>
      </c>
      <c r="E58" s="19">
        <f>D58*4.33</f>
        <v/>
      </c>
      <c r="F58" s="19">
        <f>F57+D58</f>
        <v/>
      </c>
    </row>
    <row r="59">
      <c r="B59" s="18" t="n">
        <v>48</v>
      </c>
      <c r="C59" s="19">
        <f>B58*C58*(1+$C$6/100)/$C$8</f>
        <v/>
      </c>
      <c r="D59" s="19">
        <f>C59*$C$8</f>
        <v/>
      </c>
      <c r="E59" s="19">
        <f>D59*4.33</f>
        <v/>
      </c>
      <c r="F59" s="19">
        <f>F58+D59</f>
        <v/>
      </c>
    </row>
    <row r="60">
      <c r="B60" s="18" t="n">
        <v>49</v>
      </c>
      <c r="C60" s="19">
        <f>B59*C59*(1+$C$6/100)/$C$8</f>
        <v/>
      </c>
      <c r="D60" s="19">
        <f>C60*$C$8</f>
        <v/>
      </c>
      <c r="E60" s="19">
        <f>D60*4.33</f>
        <v/>
      </c>
      <c r="F60" s="19">
        <f>F59+D60</f>
        <v/>
      </c>
    </row>
    <row r="61">
      <c r="B61" s="18" t="n">
        <v>50</v>
      </c>
      <c r="C61" s="19">
        <f>B60*C60*(1+$C$6/100)/$C$8</f>
        <v/>
      </c>
      <c r="D61" s="19">
        <f>C61*$C$8</f>
        <v/>
      </c>
      <c r="E61" s="19">
        <f>D61*4.33</f>
        <v/>
      </c>
      <c r="F61" s="19">
        <f>F60+D61</f>
        <v/>
      </c>
    </row>
    <row r="62">
      <c r="B62" s="18" t="n">
        <v>51</v>
      </c>
      <c r="C62" s="19">
        <f>B61*C61*(1+$C$6/100)/$C$8</f>
        <v/>
      </c>
      <c r="D62" s="19">
        <f>C62*$C$8</f>
        <v/>
      </c>
      <c r="E62" s="19">
        <f>D62*4.33</f>
        <v/>
      </c>
      <c r="F62" s="19">
        <f>F61+D62</f>
        <v/>
      </c>
    </row>
    <row r="63">
      <c r="B63" s="18" t="n">
        <v>52</v>
      </c>
      <c r="C63" s="19">
        <f>B62*C62*(1+$C$6/100)/$C$8</f>
        <v/>
      </c>
      <c r="D63" s="19">
        <f>C63*$C$8</f>
        <v/>
      </c>
      <c r="E63" s="19">
        <f>D63*4.33</f>
        <v/>
      </c>
      <c r="F63" s="19">
        <f>F62+D63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8A745"/>
    <outlinePr summaryBelow="1" summaryRight="1"/>
    <pageSetUpPr/>
  </sheetPr>
  <dimension ref="B2:J6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</cols>
  <sheetData>
    <row r="2">
      <c r="B2" s="1" t="inlineStr">
        <is>
          <t>CAPACITY MODEL</t>
        </is>
      </c>
    </row>
    <row r="3">
      <c r="B3" s="10" t="inlineStr">
        <is>
          <t>Utilization analysis by process stage - identifies bottlenecks</t>
        </is>
      </c>
    </row>
    <row r="5">
      <c r="B5" s="2" t="inlineStr">
        <is>
          <t>CURRENT BOTTLENECK:</t>
        </is>
      </c>
      <c r="C5" s="20" t="inlineStr">
        <is>
          <t>PV2 Techs</t>
        </is>
      </c>
    </row>
    <row r="6">
      <c r="B6" t="inlineStr">
        <is>
          <t>Week 1 Utilization:</t>
        </is>
      </c>
      <c r="C6" s="21">
        <f>MAX(H12:H17)</f>
        <v/>
      </c>
    </row>
    <row r="10">
      <c r="B10" s="11" t="inlineStr">
        <is>
          <t>Week</t>
        </is>
      </c>
      <c r="C10" s="11" t="inlineStr">
        <is>
          <t>Stage</t>
        </is>
      </c>
      <c r="D10" s="11" t="inlineStr">
        <is>
          <t>Headcount</t>
        </is>
      </c>
      <c r="E10" s="11" t="inlineStr">
        <is>
          <t>Cap/Person/Day</t>
        </is>
      </c>
      <c r="F10" s="11" t="inlineStr">
        <is>
          <t>Total Cap/Week</t>
        </is>
      </c>
      <c r="G10" s="11" t="inlineStr">
        <is>
          <t>Weekly Demand</t>
        </is>
      </c>
      <c r="H10" s="11" t="inlineStr">
        <is>
          <t>Utilization %</t>
        </is>
      </c>
      <c r="I10" s="11" t="inlineStr">
        <is>
          <t>Backlog</t>
        </is>
      </c>
      <c r="J10" s="11" t="inlineStr">
        <is>
          <t>Bottleneck?</t>
        </is>
      </c>
    </row>
    <row r="11">
      <c r="B11" s="18" t="n">
        <v>1</v>
      </c>
      <c r="C11" s="4" t="inlineStr">
        <is>
          <t>Compounding</t>
        </is>
      </c>
      <c r="D11" s="13">
        <f>'INPUTS - Current State'!C10</f>
        <v/>
      </c>
      <c r="E11" s="13">
        <f>'INPUTS - Current State'!D10</f>
        <v/>
      </c>
      <c r="F11" s="19">
        <f>D11*E11*'INPUTS - Current State'!$C$19</f>
        <v/>
      </c>
      <c r="G11" s="19">
        <f>'DEMAND FORECAST'!$D$12</f>
        <v/>
      </c>
      <c r="H11" s="22">
        <f>IF(F11&gt;0,G11/F11,0)</f>
        <v/>
      </c>
      <c r="I11" s="23">
        <f>IF(H11&gt;1,(G11-F11),0)</f>
        <v/>
      </c>
      <c r="J11" s="18">
        <f>IF(H11=MAX($H$11:$H$14),"YES","")</f>
        <v/>
      </c>
    </row>
    <row r="12">
      <c r="B12" s="18" t="inlineStr"/>
      <c r="C12" s="4" t="inlineStr">
        <is>
          <t>PV1 Techs</t>
        </is>
      </c>
      <c r="D12" s="13">
        <f>'INPUTS - Current State'!C11</f>
        <v/>
      </c>
      <c r="E12" s="13">
        <f>'INPUTS - Current State'!D11</f>
        <v/>
      </c>
      <c r="F12" s="19">
        <f>D12*E12*'INPUTS - Current State'!$C$19</f>
        <v/>
      </c>
      <c r="G12" s="19">
        <f>'DEMAND FORECAST'!$D$12</f>
        <v/>
      </c>
      <c r="H12" s="22">
        <f>IF(F12&gt;0,G12/F12,0)</f>
        <v/>
      </c>
      <c r="I12" s="23">
        <f>IF(H12&gt;1,(G12-F12),0)</f>
        <v/>
      </c>
      <c r="J12" s="18">
        <f>IF(H12=MAX($H$12:$H$15),"YES","")</f>
        <v/>
      </c>
    </row>
    <row r="13">
      <c r="B13" s="18" t="inlineStr"/>
      <c r="C13" s="4" t="inlineStr">
        <is>
          <t>PV2 Techs</t>
        </is>
      </c>
      <c r="D13" s="13">
        <f>'INPUTS - Current State'!C12</f>
        <v/>
      </c>
      <c r="E13" s="13">
        <f>'INPUTS - Current State'!D12</f>
        <v/>
      </c>
      <c r="F13" s="19">
        <f>D13*E13*'INPUTS - Current State'!$C$19</f>
        <v/>
      </c>
      <c r="G13" s="19">
        <f>'DEMAND FORECAST'!$D$12</f>
        <v/>
      </c>
      <c r="H13" s="22">
        <f>IF(F13&gt;0,G13/F13,0)</f>
        <v/>
      </c>
      <c r="I13" s="23">
        <f>IF(H13&gt;1,(G13-F13),0)</f>
        <v/>
      </c>
      <c r="J13" s="18">
        <f>IF(H13=MAX($H$13:$H$16),"YES","")</f>
        <v/>
      </c>
    </row>
    <row r="14">
      <c r="B14" s="18" t="inlineStr"/>
      <c r="C14" s="4" t="inlineStr">
        <is>
          <t>Fulfillment</t>
        </is>
      </c>
      <c r="D14" s="13">
        <f>'INPUTS - Current State'!C13</f>
        <v/>
      </c>
      <c r="E14" s="13">
        <f>'INPUTS - Current State'!D13</f>
        <v/>
      </c>
      <c r="F14" s="19">
        <f>D14*E14*'INPUTS - Current State'!$C$19</f>
        <v/>
      </c>
      <c r="G14" s="19">
        <f>'DEMAND FORECAST'!$D$12</f>
        <v/>
      </c>
      <c r="H14" s="22">
        <f>IF(F14&gt;0,G14/F14,0)</f>
        <v/>
      </c>
      <c r="I14" s="23">
        <f>IF(H14&gt;1,(G14-F14),0)</f>
        <v/>
      </c>
      <c r="J14" s="18">
        <f>IF(H14=MAX($H$14:$H$17),"YES","")</f>
        <v/>
      </c>
    </row>
    <row r="16">
      <c r="B16" s="18" t="n">
        <v>2</v>
      </c>
      <c r="C16" s="4" t="inlineStr">
        <is>
          <t>Compounding</t>
        </is>
      </c>
      <c r="D16" s="13">
        <f>'INPUTS - Current State'!C10</f>
        <v/>
      </c>
      <c r="E16" s="13">
        <f>'INPUTS - Current State'!D10</f>
        <v/>
      </c>
      <c r="F16" s="19">
        <f>D16*E16*'INPUTS - Current State'!$C$19</f>
        <v/>
      </c>
      <c r="G16" s="19">
        <f>'DEMAND FORECAST'!$D$13</f>
        <v/>
      </c>
      <c r="H16" s="22">
        <f>IF(F16&gt;0,G16/F16,0)</f>
        <v/>
      </c>
      <c r="I16" s="23">
        <f>IF(H16&gt;1,(G16-F16),0)</f>
        <v/>
      </c>
      <c r="J16" s="18">
        <f>IF(H16=MAX($H$16:$H$19),"YES","")</f>
        <v/>
      </c>
    </row>
    <row r="17">
      <c r="B17" s="18" t="inlineStr"/>
      <c r="C17" s="4" t="inlineStr">
        <is>
          <t>PV1 Techs</t>
        </is>
      </c>
      <c r="D17" s="13">
        <f>'INPUTS - Current State'!C11</f>
        <v/>
      </c>
      <c r="E17" s="13">
        <f>'INPUTS - Current State'!D11</f>
        <v/>
      </c>
      <c r="F17" s="19">
        <f>D17*E17*'INPUTS - Current State'!$C$19</f>
        <v/>
      </c>
      <c r="G17" s="19">
        <f>'DEMAND FORECAST'!$D$13</f>
        <v/>
      </c>
      <c r="H17" s="22">
        <f>IF(F17&gt;0,G17/F17,0)</f>
        <v/>
      </c>
      <c r="I17" s="23">
        <f>IF(H17&gt;1,(G17-F17),0)</f>
        <v/>
      </c>
      <c r="J17" s="18">
        <f>IF(H17=MAX($H$17:$H$20),"YES","")</f>
        <v/>
      </c>
    </row>
    <row r="18">
      <c r="B18" s="18" t="inlineStr"/>
      <c r="C18" s="4" t="inlineStr">
        <is>
          <t>PV2 Techs</t>
        </is>
      </c>
      <c r="D18" s="13">
        <f>'INPUTS - Current State'!C12</f>
        <v/>
      </c>
      <c r="E18" s="13">
        <f>'INPUTS - Current State'!D12</f>
        <v/>
      </c>
      <c r="F18" s="19">
        <f>D18*E18*'INPUTS - Current State'!$C$19</f>
        <v/>
      </c>
      <c r="G18" s="19">
        <f>'DEMAND FORECAST'!$D$13</f>
        <v/>
      </c>
      <c r="H18" s="22">
        <f>IF(F18&gt;0,G18/F18,0)</f>
        <v/>
      </c>
      <c r="I18" s="23">
        <f>IF(H18&gt;1,(G18-F18),0)</f>
        <v/>
      </c>
      <c r="J18" s="18">
        <f>IF(H18=MAX($H$18:$H$21),"YES","")</f>
        <v/>
      </c>
    </row>
    <row r="19">
      <c r="B19" s="18" t="inlineStr"/>
      <c r="C19" s="4" t="inlineStr">
        <is>
          <t>Fulfillment</t>
        </is>
      </c>
      <c r="D19" s="13">
        <f>'INPUTS - Current State'!C13</f>
        <v/>
      </c>
      <c r="E19" s="13">
        <f>'INPUTS - Current State'!D13</f>
        <v/>
      </c>
      <c r="F19" s="19">
        <f>D19*E19*'INPUTS - Current State'!$C$19</f>
        <v/>
      </c>
      <c r="G19" s="19">
        <f>'DEMAND FORECAST'!$D$13</f>
        <v/>
      </c>
      <c r="H19" s="22">
        <f>IF(F19&gt;0,G19/F19,0)</f>
        <v/>
      </c>
      <c r="I19" s="23">
        <f>IF(H19&gt;1,(G19-F19),0)</f>
        <v/>
      </c>
      <c r="J19" s="18">
        <f>IF(H19=MAX($H$19:$H$22),"YES","")</f>
        <v/>
      </c>
    </row>
    <row r="21">
      <c r="B21" s="18" t="n">
        <v>3</v>
      </c>
      <c r="C21" s="4" t="inlineStr">
        <is>
          <t>Compounding</t>
        </is>
      </c>
      <c r="D21" s="13">
        <f>'INPUTS - Current State'!C10</f>
        <v/>
      </c>
      <c r="E21" s="13">
        <f>'INPUTS - Current State'!D10</f>
        <v/>
      </c>
      <c r="F21" s="19">
        <f>D21*E21*'INPUTS - Current State'!$C$19</f>
        <v/>
      </c>
      <c r="G21" s="19">
        <f>'DEMAND FORECAST'!$D$14</f>
        <v/>
      </c>
      <c r="H21" s="22">
        <f>IF(F21&gt;0,G21/F21,0)</f>
        <v/>
      </c>
      <c r="I21" s="23">
        <f>IF(H21&gt;1,(G21-F21),0)</f>
        <v/>
      </c>
      <c r="J21" s="18">
        <f>IF(H21=MAX($H$21:$H$24),"YES","")</f>
        <v/>
      </c>
    </row>
    <row r="22">
      <c r="B22" s="18" t="inlineStr"/>
      <c r="C22" s="4" t="inlineStr">
        <is>
          <t>PV1 Techs</t>
        </is>
      </c>
      <c r="D22" s="13">
        <f>'INPUTS - Current State'!C11</f>
        <v/>
      </c>
      <c r="E22" s="13">
        <f>'INPUTS - Current State'!D11</f>
        <v/>
      </c>
      <c r="F22" s="19">
        <f>D22*E22*'INPUTS - Current State'!$C$19</f>
        <v/>
      </c>
      <c r="G22" s="19">
        <f>'DEMAND FORECAST'!$D$14</f>
        <v/>
      </c>
      <c r="H22" s="22">
        <f>IF(F22&gt;0,G22/F22,0)</f>
        <v/>
      </c>
      <c r="I22" s="23">
        <f>IF(H22&gt;1,(G22-F22),0)</f>
        <v/>
      </c>
      <c r="J22" s="18">
        <f>IF(H22=MAX($H$22:$H$25),"YES","")</f>
        <v/>
      </c>
    </row>
    <row r="23">
      <c r="B23" s="18" t="inlineStr"/>
      <c r="C23" s="4" t="inlineStr">
        <is>
          <t>PV2 Techs</t>
        </is>
      </c>
      <c r="D23" s="13">
        <f>'INPUTS - Current State'!C12</f>
        <v/>
      </c>
      <c r="E23" s="13">
        <f>'INPUTS - Current State'!D12</f>
        <v/>
      </c>
      <c r="F23" s="19">
        <f>D23*E23*'INPUTS - Current State'!$C$19</f>
        <v/>
      </c>
      <c r="G23" s="19">
        <f>'DEMAND FORECAST'!$D$14</f>
        <v/>
      </c>
      <c r="H23" s="22">
        <f>IF(F23&gt;0,G23/F23,0)</f>
        <v/>
      </c>
      <c r="I23" s="23">
        <f>IF(H23&gt;1,(G23-F23),0)</f>
        <v/>
      </c>
      <c r="J23" s="18">
        <f>IF(H23=MAX($H$23:$H$26),"YES","")</f>
        <v/>
      </c>
    </row>
    <row r="24">
      <c r="B24" s="18" t="inlineStr"/>
      <c r="C24" s="4" t="inlineStr">
        <is>
          <t>Fulfillment</t>
        </is>
      </c>
      <c r="D24" s="13">
        <f>'INPUTS - Current State'!C13</f>
        <v/>
      </c>
      <c r="E24" s="13">
        <f>'INPUTS - Current State'!D13</f>
        <v/>
      </c>
      <c r="F24" s="19">
        <f>D24*E24*'INPUTS - Current State'!$C$19</f>
        <v/>
      </c>
      <c r="G24" s="19">
        <f>'DEMAND FORECAST'!$D$14</f>
        <v/>
      </c>
      <c r="H24" s="22">
        <f>IF(F24&gt;0,G24/F24,0)</f>
        <v/>
      </c>
      <c r="I24" s="23">
        <f>IF(H24&gt;1,(G24-F24),0)</f>
        <v/>
      </c>
      <c r="J24" s="18">
        <f>IF(H24=MAX($H$24:$H$27),"YES","")</f>
        <v/>
      </c>
    </row>
    <row r="26">
      <c r="B26" s="18" t="n">
        <v>4</v>
      </c>
      <c r="C26" s="4" t="inlineStr">
        <is>
          <t>Compounding</t>
        </is>
      </c>
      <c r="D26" s="13">
        <f>'INPUTS - Current State'!C10</f>
        <v/>
      </c>
      <c r="E26" s="13">
        <f>'INPUTS - Current State'!D10</f>
        <v/>
      </c>
      <c r="F26" s="19">
        <f>D26*E26*'INPUTS - Current State'!$C$19</f>
        <v/>
      </c>
      <c r="G26" s="19">
        <f>'DEMAND FORECAST'!$D$15</f>
        <v/>
      </c>
      <c r="H26" s="22">
        <f>IF(F26&gt;0,G26/F26,0)</f>
        <v/>
      </c>
      <c r="I26" s="23">
        <f>IF(H26&gt;1,(G26-F26),0)</f>
        <v/>
      </c>
      <c r="J26" s="18">
        <f>IF(H26=MAX($H$26:$H$29),"YES","")</f>
        <v/>
      </c>
    </row>
    <row r="27">
      <c r="B27" s="18" t="inlineStr"/>
      <c r="C27" s="4" t="inlineStr">
        <is>
          <t>PV1 Techs</t>
        </is>
      </c>
      <c r="D27" s="13">
        <f>'INPUTS - Current State'!C11</f>
        <v/>
      </c>
      <c r="E27" s="13">
        <f>'INPUTS - Current State'!D11</f>
        <v/>
      </c>
      <c r="F27" s="19">
        <f>D27*E27*'INPUTS - Current State'!$C$19</f>
        <v/>
      </c>
      <c r="G27" s="19">
        <f>'DEMAND FORECAST'!$D$15</f>
        <v/>
      </c>
      <c r="H27" s="22">
        <f>IF(F27&gt;0,G27/F27,0)</f>
        <v/>
      </c>
      <c r="I27" s="23">
        <f>IF(H27&gt;1,(G27-F27),0)</f>
        <v/>
      </c>
      <c r="J27" s="18">
        <f>IF(H27=MAX($H$27:$H$30),"YES","")</f>
        <v/>
      </c>
    </row>
    <row r="28">
      <c r="B28" s="18" t="inlineStr"/>
      <c r="C28" s="4" t="inlineStr">
        <is>
          <t>PV2 Techs</t>
        </is>
      </c>
      <c r="D28" s="13">
        <f>'INPUTS - Current State'!C12</f>
        <v/>
      </c>
      <c r="E28" s="13">
        <f>'INPUTS - Current State'!D12</f>
        <v/>
      </c>
      <c r="F28" s="19">
        <f>D28*E28*'INPUTS - Current State'!$C$19</f>
        <v/>
      </c>
      <c r="G28" s="19">
        <f>'DEMAND FORECAST'!$D$15</f>
        <v/>
      </c>
      <c r="H28" s="22">
        <f>IF(F28&gt;0,G28/F28,0)</f>
        <v/>
      </c>
      <c r="I28" s="23">
        <f>IF(H28&gt;1,(G28-F28),0)</f>
        <v/>
      </c>
      <c r="J28" s="18">
        <f>IF(H28=MAX($H$28:$H$31),"YES","")</f>
        <v/>
      </c>
    </row>
    <row r="29">
      <c r="B29" s="18" t="inlineStr"/>
      <c r="C29" s="4" t="inlineStr">
        <is>
          <t>Fulfillment</t>
        </is>
      </c>
      <c r="D29" s="13">
        <f>'INPUTS - Current State'!C13</f>
        <v/>
      </c>
      <c r="E29" s="13">
        <f>'INPUTS - Current State'!D13</f>
        <v/>
      </c>
      <c r="F29" s="19">
        <f>D29*E29*'INPUTS - Current State'!$C$19</f>
        <v/>
      </c>
      <c r="G29" s="19">
        <f>'DEMAND FORECAST'!$D$15</f>
        <v/>
      </c>
      <c r="H29" s="22">
        <f>IF(F29&gt;0,G29/F29,0)</f>
        <v/>
      </c>
      <c r="I29" s="23">
        <f>IF(H29&gt;1,(G29-F29),0)</f>
        <v/>
      </c>
      <c r="J29" s="18">
        <f>IF(H29=MAX($H$29:$H$32),"YES","")</f>
        <v/>
      </c>
    </row>
    <row r="31">
      <c r="B31" s="18" t="n">
        <v>5</v>
      </c>
      <c r="C31" s="4" t="inlineStr">
        <is>
          <t>Compounding</t>
        </is>
      </c>
      <c r="D31" s="13">
        <f>'INPUTS - Current State'!C10</f>
        <v/>
      </c>
      <c r="E31" s="13">
        <f>'INPUTS - Current State'!D10</f>
        <v/>
      </c>
      <c r="F31" s="19">
        <f>D31*E31*'INPUTS - Current State'!$C$19</f>
        <v/>
      </c>
      <c r="G31" s="19">
        <f>'DEMAND FORECAST'!$D$16</f>
        <v/>
      </c>
      <c r="H31" s="22">
        <f>IF(F31&gt;0,G31/F31,0)</f>
        <v/>
      </c>
      <c r="I31" s="23">
        <f>IF(H31&gt;1,(G31-F31),0)</f>
        <v/>
      </c>
      <c r="J31" s="18">
        <f>IF(H31=MAX($H$31:$H$34),"YES","")</f>
        <v/>
      </c>
    </row>
    <row r="32">
      <c r="B32" s="18" t="inlineStr"/>
      <c r="C32" s="4" t="inlineStr">
        <is>
          <t>PV1 Techs</t>
        </is>
      </c>
      <c r="D32" s="13">
        <f>'INPUTS - Current State'!C11</f>
        <v/>
      </c>
      <c r="E32" s="13">
        <f>'INPUTS - Current State'!D11</f>
        <v/>
      </c>
      <c r="F32" s="19">
        <f>D32*E32*'INPUTS - Current State'!$C$19</f>
        <v/>
      </c>
      <c r="G32" s="19">
        <f>'DEMAND FORECAST'!$D$16</f>
        <v/>
      </c>
      <c r="H32" s="22">
        <f>IF(F32&gt;0,G32/F32,0)</f>
        <v/>
      </c>
      <c r="I32" s="23">
        <f>IF(H32&gt;1,(G32-F32),0)</f>
        <v/>
      </c>
      <c r="J32" s="18">
        <f>IF(H32=MAX($H$32:$H$35),"YES","")</f>
        <v/>
      </c>
    </row>
    <row r="33">
      <c r="B33" s="18" t="inlineStr"/>
      <c r="C33" s="4" t="inlineStr">
        <is>
          <t>PV2 Techs</t>
        </is>
      </c>
      <c r="D33" s="13">
        <f>'INPUTS - Current State'!C12</f>
        <v/>
      </c>
      <c r="E33" s="13">
        <f>'INPUTS - Current State'!D12</f>
        <v/>
      </c>
      <c r="F33" s="19">
        <f>D33*E33*'INPUTS - Current State'!$C$19</f>
        <v/>
      </c>
      <c r="G33" s="19">
        <f>'DEMAND FORECAST'!$D$16</f>
        <v/>
      </c>
      <c r="H33" s="22">
        <f>IF(F33&gt;0,G33/F33,0)</f>
        <v/>
      </c>
      <c r="I33" s="23">
        <f>IF(H33&gt;1,(G33-F33),0)</f>
        <v/>
      </c>
      <c r="J33" s="18">
        <f>IF(H33=MAX($H$33:$H$36),"YES","")</f>
        <v/>
      </c>
    </row>
    <row r="34">
      <c r="B34" s="18" t="inlineStr"/>
      <c r="C34" s="4" t="inlineStr">
        <is>
          <t>Fulfillment</t>
        </is>
      </c>
      <c r="D34" s="13">
        <f>'INPUTS - Current State'!C13</f>
        <v/>
      </c>
      <c r="E34" s="13">
        <f>'INPUTS - Current State'!D13</f>
        <v/>
      </c>
      <c r="F34" s="19">
        <f>D34*E34*'INPUTS - Current State'!$C$19</f>
        <v/>
      </c>
      <c r="G34" s="19">
        <f>'DEMAND FORECAST'!$D$16</f>
        <v/>
      </c>
      <c r="H34" s="22">
        <f>IF(F34&gt;0,G34/F34,0)</f>
        <v/>
      </c>
      <c r="I34" s="23">
        <f>IF(H34&gt;1,(G34-F34),0)</f>
        <v/>
      </c>
      <c r="J34" s="18">
        <f>IF(H34=MAX($H$34:$H$37),"YES","")</f>
        <v/>
      </c>
    </row>
    <row r="36">
      <c r="B36" s="18" t="n">
        <v>6</v>
      </c>
      <c r="C36" s="4" t="inlineStr">
        <is>
          <t>Compounding</t>
        </is>
      </c>
      <c r="D36" s="13">
        <f>'INPUTS - Current State'!C10</f>
        <v/>
      </c>
      <c r="E36" s="13">
        <f>'INPUTS - Current State'!D10</f>
        <v/>
      </c>
      <c r="F36" s="19">
        <f>D36*E36*'INPUTS - Current State'!$C$19</f>
        <v/>
      </c>
      <c r="G36" s="19">
        <f>'DEMAND FORECAST'!$D$17</f>
        <v/>
      </c>
      <c r="H36" s="22">
        <f>IF(F36&gt;0,G36/F36,0)</f>
        <v/>
      </c>
      <c r="I36" s="23">
        <f>IF(H36&gt;1,(G36-F36),0)</f>
        <v/>
      </c>
      <c r="J36" s="18">
        <f>IF(H36=MAX($H$36:$H$39),"YES","")</f>
        <v/>
      </c>
    </row>
    <row r="37">
      <c r="B37" s="18" t="inlineStr"/>
      <c r="C37" s="4" t="inlineStr">
        <is>
          <t>PV1 Techs</t>
        </is>
      </c>
      <c r="D37" s="13">
        <f>'INPUTS - Current State'!C11</f>
        <v/>
      </c>
      <c r="E37" s="13">
        <f>'INPUTS - Current State'!D11</f>
        <v/>
      </c>
      <c r="F37" s="19">
        <f>D37*E37*'INPUTS - Current State'!$C$19</f>
        <v/>
      </c>
      <c r="G37" s="19">
        <f>'DEMAND FORECAST'!$D$17</f>
        <v/>
      </c>
      <c r="H37" s="22">
        <f>IF(F37&gt;0,G37/F37,0)</f>
        <v/>
      </c>
      <c r="I37" s="23">
        <f>IF(H37&gt;1,(G37-F37),0)</f>
        <v/>
      </c>
      <c r="J37" s="18">
        <f>IF(H37=MAX($H$37:$H$40),"YES","")</f>
        <v/>
      </c>
    </row>
    <row r="38">
      <c r="B38" s="18" t="inlineStr"/>
      <c r="C38" s="4" t="inlineStr">
        <is>
          <t>PV2 Techs</t>
        </is>
      </c>
      <c r="D38" s="13">
        <f>'INPUTS - Current State'!C12</f>
        <v/>
      </c>
      <c r="E38" s="13">
        <f>'INPUTS - Current State'!D12</f>
        <v/>
      </c>
      <c r="F38" s="19">
        <f>D38*E38*'INPUTS - Current State'!$C$19</f>
        <v/>
      </c>
      <c r="G38" s="19">
        <f>'DEMAND FORECAST'!$D$17</f>
        <v/>
      </c>
      <c r="H38" s="22">
        <f>IF(F38&gt;0,G38/F38,0)</f>
        <v/>
      </c>
      <c r="I38" s="23">
        <f>IF(H38&gt;1,(G38-F38),0)</f>
        <v/>
      </c>
      <c r="J38" s="18">
        <f>IF(H38=MAX($H$38:$H$41),"YES","")</f>
        <v/>
      </c>
    </row>
    <row r="39">
      <c r="B39" s="18" t="inlineStr"/>
      <c r="C39" s="4" t="inlineStr">
        <is>
          <t>Fulfillment</t>
        </is>
      </c>
      <c r="D39" s="13">
        <f>'INPUTS - Current State'!C13</f>
        <v/>
      </c>
      <c r="E39" s="13">
        <f>'INPUTS - Current State'!D13</f>
        <v/>
      </c>
      <c r="F39" s="19">
        <f>D39*E39*'INPUTS - Current State'!$C$19</f>
        <v/>
      </c>
      <c r="G39" s="19">
        <f>'DEMAND FORECAST'!$D$17</f>
        <v/>
      </c>
      <c r="H39" s="22">
        <f>IF(F39&gt;0,G39/F39,0)</f>
        <v/>
      </c>
      <c r="I39" s="23">
        <f>IF(H39&gt;1,(G39-F39),0)</f>
        <v/>
      </c>
      <c r="J39" s="18">
        <f>IF(H39=MAX($H$39:$H$42),"YES","")</f>
        <v/>
      </c>
    </row>
    <row r="41">
      <c r="B41" s="18" t="n">
        <v>7</v>
      </c>
      <c r="C41" s="4" t="inlineStr">
        <is>
          <t>Compounding</t>
        </is>
      </c>
      <c r="D41" s="13">
        <f>'INPUTS - Current State'!C10</f>
        <v/>
      </c>
      <c r="E41" s="13">
        <f>'INPUTS - Current State'!D10</f>
        <v/>
      </c>
      <c r="F41" s="19">
        <f>D41*E41*'INPUTS - Current State'!$C$19</f>
        <v/>
      </c>
      <c r="G41" s="19">
        <f>'DEMAND FORECAST'!$D$18</f>
        <v/>
      </c>
      <c r="H41" s="22">
        <f>IF(F41&gt;0,G41/F41,0)</f>
        <v/>
      </c>
      <c r="I41" s="23">
        <f>IF(H41&gt;1,(G41-F41),0)</f>
        <v/>
      </c>
      <c r="J41" s="18">
        <f>IF(H41=MAX($H$41:$H$44),"YES","")</f>
        <v/>
      </c>
    </row>
    <row r="42">
      <c r="B42" s="18" t="inlineStr"/>
      <c r="C42" s="4" t="inlineStr">
        <is>
          <t>PV1 Techs</t>
        </is>
      </c>
      <c r="D42" s="13">
        <f>'INPUTS - Current State'!C11</f>
        <v/>
      </c>
      <c r="E42" s="13">
        <f>'INPUTS - Current State'!D11</f>
        <v/>
      </c>
      <c r="F42" s="19">
        <f>D42*E42*'INPUTS - Current State'!$C$19</f>
        <v/>
      </c>
      <c r="G42" s="19">
        <f>'DEMAND FORECAST'!$D$18</f>
        <v/>
      </c>
      <c r="H42" s="22">
        <f>IF(F42&gt;0,G42/F42,0)</f>
        <v/>
      </c>
      <c r="I42" s="23">
        <f>IF(H42&gt;1,(G42-F42),0)</f>
        <v/>
      </c>
      <c r="J42" s="18">
        <f>IF(H42=MAX($H$42:$H$45),"YES","")</f>
        <v/>
      </c>
    </row>
    <row r="43">
      <c r="B43" s="18" t="inlineStr"/>
      <c r="C43" s="4" t="inlineStr">
        <is>
          <t>PV2 Techs</t>
        </is>
      </c>
      <c r="D43" s="13">
        <f>'INPUTS - Current State'!C12</f>
        <v/>
      </c>
      <c r="E43" s="13">
        <f>'INPUTS - Current State'!D12</f>
        <v/>
      </c>
      <c r="F43" s="19">
        <f>D43*E43*'INPUTS - Current State'!$C$19</f>
        <v/>
      </c>
      <c r="G43" s="19">
        <f>'DEMAND FORECAST'!$D$18</f>
        <v/>
      </c>
      <c r="H43" s="22">
        <f>IF(F43&gt;0,G43/F43,0)</f>
        <v/>
      </c>
      <c r="I43" s="23">
        <f>IF(H43&gt;1,(G43-F43),0)</f>
        <v/>
      </c>
      <c r="J43" s="18">
        <f>IF(H43=MAX($H$43:$H$46),"YES","")</f>
        <v/>
      </c>
    </row>
    <row r="44">
      <c r="B44" s="18" t="inlineStr"/>
      <c r="C44" s="4" t="inlineStr">
        <is>
          <t>Fulfillment</t>
        </is>
      </c>
      <c r="D44" s="13">
        <f>'INPUTS - Current State'!C13</f>
        <v/>
      </c>
      <c r="E44" s="13">
        <f>'INPUTS - Current State'!D13</f>
        <v/>
      </c>
      <c r="F44" s="19">
        <f>D44*E44*'INPUTS - Current State'!$C$19</f>
        <v/>
      </c>
      <c r="G44" s="19">
        <f>'DEMAND FORECAST'!$D$18</f>
        <v/>
      </c>
      <c r="H44" s="22">
        <f>IF(F44&gt;0,G44/F44,0)</f>
        <v/>
      </c>
      <c r="I44" s="23">
        <f>IF(H44&gt;1,(G44-F44),0)</f>
        <v/>
      </c>
      <c r="J44" s="18">
        <f>IF(H44=MAX($H$44:$H$47),"YES","")</f>
        <v/>
      </c>
    </row>
    <row r="46">
      <c r="B46" s="18" t="n">
        <v>8</v>
      </c>
      <c r="C46" s="4" t="inlineStr">
        <is>
          <t>Compounding</t>
        </is>
      </c>
      <c r="D46" s="13">
        <f>'INPUTS - Current State'!C10</f>
        <v/>
      </c>
      <c r="E46" s="13">
        <f>'INPUTS - Current State'!D10</f>
        <v/>
      </c>
      <c r="F46" s="19">
        <f>D46*E46*'INPUTS - Current State'!$C$19</f>
        <v/>
      </c>
      <c r="G46" s="19">
        <f>'DEMAND FORECAST'!$D$19</f>
        <v/>
      </c>
      <c r="H46" s="22">
        <f>IF(F46&gt;0,G46/F46,0)</f>
        <v/>
      </c>
      <c r="I46" s="23">
        <f>IF(H46&gt;1,(G46-F46),0)</f>
        <v/>
      </c>
      <c r="J46" s="18">
        <f>IF(H46=MAX($H$46:$H$49),"YES","")</f>
        <v/>
      </c>
    </row>
    <row r="47">
      <c r="B47" s="18" t="inlineStr"/>
      <c r="C47" s="4" t="inlineStr">
        <is>
          <t>PV1 Techs</t>
        </is>
      </c>
      <c r="D47" s="13">
        <f>'INPUTS - Current State'!C11</f>
        <v/>
      </c>
      <c r="E47" s="13">
        <f>'INPUTS - Current State'!D11</f>
        <v/>
      </c>
      <c r="F47" s="19">
        <f>D47*E47*'INPUTS - Current State'!$C$19</f>
        <v/>
      </c>
      <c r="G47" s="19">
        <f>'DEMAND FORECAST'!$D$19</f>
        <v/>
      </c>
      <c r="H47" s="22">
        <f>IF(F47&gt;0,G47/F47,0)</f>
        <v/>
      </c>
      <c r="I47" s="23">
        <f>IF(H47&gt;1,(G47-F47),0)</f>
        <v/>
      </c>
      <c r="J47" s="18">
        <f>IF(H47=MAX($H$47:$H$50),"YES","")</f>
        <v/>
      </c>
    </row>
    <row r="48">
      <c r="B48" s="18" t="inlineStr"/>
      <c r="C48" s="4" t="inlineStr">
        <is>
          <t>PV2 Techs</t>
        </is>
      </c>
      <c r="D48" s="13">
        <f>'INPUTS - Current State'!C12</f>
        <v/>
      </c>
      <c r="E48" s="13">
        <f>'INPUTS - Current State'!D12</f>
        <v/>
      </c>
      <c r="F48" s="19">
        <f>D48*E48*'INPUTS - Current State'!$C$19</f>
        <v/>
      </c>
      <c r="G48" s="19">
        <f>'DEMAND FORECAST'!$D$19</f>
        <v/>
      </c>
      <c r="H48" s="22">
        <f>IF(F48&gt;0,G48/F48,0)</f>
        <v/>
      </c>
      <c r="I48" s="23">
        <f>IF(H48&gt;1,(G48-F48),0)</f>
        <v/>
      </c>
      <c r="J48" s="18">
        <f>IF(H48=MAX($H$48:$H$51),"YES","")</f>
        <v/>
      </c>
    </row>
    <row r="49">
      <c r="B49" s="18" t="inlineStr"/>
      <c r="C49" s="4" t="inlineStr">
        <is>
          <t>Fulfillment</t>
        </is>
      </c>
      <c r="D49" s="13">
        <f>'INPUTS - Current State'!C13</f>
        <v/>
      </c>
      <c r="E49" s="13">
        <f>'INPUTS - Current State'!D13</f>
        <v/>
      </c>
      <c r="F49" s="19">
        <f>D49*E49*'INPUTS - Current State'!$C$19</f>
        <v/>
      </c>
      <c r="G49" s="19">
        <f>'DEMAND FORECAST'!$D$19</f>
        <v/>
      </c>
      <c r="H49" s="22">
        <f>IF(F49&gt;0,G49/F49,0)</f>
        <v/>
      </c>
      <c r="I49" s="23">
        <f>IF(H49&gt;1,(G49-F49),0)</f>
        <v/>
      </c>
      <c r="J49" s="18">
        <f>IF(H49=MAX($H$49:$H$52),"YES","")</f>
        <v/>
      </c>
    </row>
    <row r="51">
      <c r="B51" s="18" t="n">
        <v>9</v>
      </c>
      <c r="C51" s="4" t="inlineStr">
        <is>
          <t>Compounding</t>
        </is>
      </c>
      <c r="D51" s="13">
        <f>'INPUTS - Current State'!C10</f>
        <v/>
      </c>
      <c r="E51" s="13">
        <f>'INPUTS - Current State'!D10</f>
        <v/>
      </c>
      <c r="F51" s="19">
        <f>D51*E51*'INPUTS - Current State'!$C$19</f>
        <v/>
      </c>
      <c r="G51" s="19">
        <f>'DEMAND FORECAST'!$D$20</f>
        <v/>
      </c>
      <c r="H51" s="22">
        <f>IF(F51&gt;0,G51/F51,0)</f>
        <v/>
      </c>
      <c r="I51" s="23">
        <f>IF(H51&gt;1,(G51-F51),0)</f>
        <v/>
      </c>
      <c r="J51" s="18">
        <f>IF(H51=MAX($H$51:$H$54),"YES","")</f>
        <v/>
      </c>
    </row>
    <row r="52">
      <c r="B52" s="18" t="inlineStr"/>
      <c r="C52" s="4" t="inlineStr">
        <is>
          <t>PV1 Techs</t>
        </is>
      </c>
      <c r="D52" s="13">
        <f>'INPUTS - Current State'!C11</f>
        <v/>
      </c>
      <c r="E52" s="13">
        <f>'INPUTS - Current State'!D11</f>
        <v/>
      </c>
      <c r="F52" s="19">
        <f>D52*E52*'INPUTS - Current State'!$C$19</f>
        <v/>
      </c>
      <c r="G52" s="19">
        <f>'DEMAND FORECAST'!$D$20</f>
        <v/>
      </c>
      <c r="H52" s="22">
        <f>IF(F52&gt;0,G52/F52,0)</f>
        <v/>
      </c>
      <c r="I52" s="23">
        <f>IF(H52&gt;1,(G52-F52),0)</f>
        <v/>
      </c>
      <c r="J52" s="18">
        <f>IF(H52=MAX($H$52:$H$55),"YES","")</f>
        <v/>
      </c>
    </row>
    <row r="53">
      <c r="B53" s="18" t="inlineStr"/>
      <c r="C53" s="4" t="inlineStr">
        <is>
          <t>PV2 Techs</t>
        </is>
      </c>
      <c r="D53" s="13">
        <f>'INPUTS - Current State'!C12</f>
        <v/>
      </c>
      <c r="E53" s="13">
        <f>'INPUTS - Current State'!D12</f>
        <v/>
      </c>
      <c r="F53" s="19">
        <f>D53*E53*'INPUTS - Current State'!$C$19</f>
        <v/>
      </c>
      <c r="G53" s="19">
        <f>'DEMAND FORECAST'!$D$20</f>
        <v/>
      </c>
      <c r="H53" s="22">
        <f>IF(F53&gt;0,G53/F53,0)</f>
        <v/>
      </c>
      <c r="I53" s="23">
        <f>IF(H53&gt;1,(G53-F53),0)</f>
        <v/>
      </c>
      <c r="J53" s="18">
        <f>IF(H53=MAX($H$53:$H$56),"YES","")</f>
        <v/>
      </c>
    </row>
    <row r="54">
      <c r="B54" s="18" t="inlineStr"/>
      <c r="C54" s="4" t="inlineStr">
        <is>
          <t>Fulfillment</t>
        </is>
      </c>
      <c r="D54" s="13">
        <f>'INPUTS - Current State'!C13</f>
        <v/>
      </c>
      <c r="E54" s="13">
        <f>'INPUTS - Current State'!D13</f>
        <v/>
      </c>
      <c r="F54" s="19">
        <f>D54*E54*'INPUTS - Current State'!$C$19</f>
        <v/>
      </c>
      <c r="G54" s="19">
        <f>'DEMAND FORECAST'!$D$20</f>
        <v/>
      </c>
      <c r="H54" s="22">
        <f>IF(F54&gt;0,G54/F54,0)</f>
        <v/>
      </c>
      <c r="I54" s="23">
        <f>IF(H54&gt;1,(G54-F54),0)</f>
        <v/>
      </c>
      <c r="J54" s="18">
        <f>IF(H54=MAX($H$54:$H$57),"YES","")</f>
        <v/>
      </c>
    </row>
    <row r="56">
      <c r="B56" s="18" t="n">
        <v>10</v>
      </c>
      <c r="C56" s="4" t="inlineStr">
        <is>
          <t>Compounding</t>
        </is>
      </c>
      <c r="D56" s="13">
        <f>'INPUTS - Current State'!C10</f>
        <v/>
      </c>
      <c r="E56" s="13">
        <f>'INPUTS - Current State'!D10</f>
        <v/>
      </c>
      <c r="F56" s="19">
        <f>D56*E56*'INPUTS - Current State'!$C$19</f>
        <v/>
      </c>
      <c r="G56" s="19">
        <f>'DEMAND FORECAST'!$D$21</f>
        <v/>
      </c>
      <c r="H56" s="22">
        <f>IF(F56&gt;0,G56/F56,0)</f>
        <v/>
      </c>
      <c r="I56" s="23">
        <f>IF(H56&gt;1,(G56-F56),0)</f>
        <v/>
      </c>
      <c r="J56" s="18">
        <f>IF(H56=MAX($H$56:$H$59),"YES","")</f>
        <v/>
      </c>
    </row>
    <row r="57">
      <c r="B57" s="18" t="inlineStr"/>
      <c r="C57" s="4" t="inlineStr">
        <is>
          <t>PV1 Techs</t>
        </is>
      </c>
      <c r="D57" s="13">
        <f>'INPUTS - Current State'!C11</f>
        <v/>
      </c>
      <c r="E57" s="13">
        <f>'INPUTS - Current State'!D11</f>
        <v/>
      </c>
      <c r="F57" s="19">
        <f>D57*E57*'INPUTS - Current State'!$C$19</f>
        <v/>
      </c>
      <c r="G57" s="19">
        <f>'DEMAND FORECAST'!$D$21</f>
        <v/>
      </c>
      <c r="H57" s="22">
        <f>IF(F57&gt;0,G57/F57,0)</f>
        <v/>
      </c>
      <c r="I57" s="23">
        <f>IF(H57&gt;1,(G57-F57),0)</f>
        <v/>
      </c>
      <c r="J57" s="18">
        <f>IF(H57=MAX($H$57:$H$60),"YES","")</f>
        <v/>
      </c>
    </row>
    <row r="58">
      <c r="B58" s="18" t="inlineStr"/>
      <c r="C58" s="4" t="inlineStr">
        <is>
          <t>PV2 Techs</t>
        </is>
      </c>
      <c r="D58" s="13">
        <f>'INPUTS - Current State'!C12</f>
        <v/>
      </c>
      <c r="E58" s="13">
        <f>'INPUTS - Current State'!D12</f>
        <v/>
      </c>
      <c r="F58" s="19">
        <f>D58*E58*'INPUTS - Current State'!$C$19</f>
        <v/>
      </c>
      <c r="G58" s="19">
        <f>'DEMAND FORECAST'!$D$21</f>
        <v/>
      </c>
      <c r="H58" s="22">
        <f>IF(F58&gt;0,G58/F58,0)</f>
        <v/>
      </c>
      <c r="I58" s="23">
        <f>IF(H58&gt;1,(G58-F58),0)</f>
        <v/>
      </c>
      <c r="J58" s="18">
        <f>IF(H58=MAX($H$58:$H$61),"YES","")</f>
        <v/>
      </c>
    </row>
    <row r="59">
      <c r="B59" s="18" t="inlineStr"/>
      <c r="C59" s="4" t="inlineStr">
        <is>
          <t>Fulfillment</t>
        </is>
      </c>
      <c r="D59" s="13">
        <f>'INPUTS - Current State'!C13</f>
        <v/>
      </c>
      <c r="E59" s="13">
        <f>'INPUTS - Current State'!D13</f>
        <v/>
      </c>
      <c r="F59" s="19">
        <f>D59*E59*'INPUTS - Current State'!$C$19</f>
        <v/>
      </c>
      <c r="G59" s="19">
        <f>'DEMAND FORECAST'!$D$21</f>
        <v/>
      </c>
      <c r="H59" s="22">
        <f>IF(F59&gt;0,G59/F59,0)</f>
        <v/>
      </c>
      <c r="I59" s="23">
        <f>IF(H59&gt;1,(G59-F59),0)</f>
        <v/>
      </c>
      <c r="J59" s="18">
        <f>IF(H59=MAX($H$59:$H$62),"YES","")</f>
        <v/>
      </c>
    </row>
    <row r="61">
      <c r="B61" s="18" t="n">
        <v>11</v>
      </c>
      <c r="C61" s="4" t="inlineStr">
        <is>
          <t>Compounding</t>
        </is>
      </c>
      <c r="D61" s="13">
        <f>'INPUTS - Current State'!C10</f>
        <v/>
      </c>
      <c r="E61" s="13">
        <f>'INPUTS - Current State'!D10</f>
        <v/>
      </c>
      <c r="F61" s="19">
        <f>D61*E61*'INPUTS - Current State'!$C$19</f>
        <v/>
      </c>
      <c r="G61" s="19">
        <f>'DEMAND FORECAST'!$D$22</f>
        <v/>
      </c>
      <c r="H61" s="22">
        <f>IF(F61&gt;0,G61/F61,0)</f>
        <v/>
      </c>
      <c r="I61" s="23">
        <f>IF(H61&gt;1,(G61-F61),0)</f>
        <v/>
      </c>
      <c r="J61" s="18">
        <f>IF(H61=MAX($H$61:$H$64),"YES","")</f>
        <v/>
      </c>
    </row>
    <row r="62">
      <c r="B62" s="18" t="inlineStr"/>
      <c r="C62" s="4" t="inlineStr">
        <is>
          <t>PV1 Techs</t>
        </is>
      </c>
      <c r="D62" s="13">
        <f>'INPUTS - Current State'!C11</f>
        <v/>
      </c>
      <c r="E62" s="13">
        <f>'INPUTS - Current State'!D11</f>
        <v/>
      </c>
      <c r="F62" s="19">
        <f>D62*E62*'INPUTS - Current State'!$C$19</f>
        <v/>
      </c>
      <c r="G62" s="19">
        <f>'DEMAND FORECAST'!$D$22</f>
        <v/>
      </c>
      <c r="H62" s="22">
        <f>IF(F62&gt;0,G62/F62,0)</f>
        <v/>
      </c>
      <c r="I62" s="23">
        <f>IF(H62&gt;1,(G62-F62),0)</f>
        <v/>
      </c>
      <c r="J62" s="18">
        <f>IF(H62=MAX($H$62:$H$65),"YES","")</f>
        <v/>
      </c>
    </row>
    <row r="63">
      <c r="B63" s="18" t="inlineStr"/>
      <c r="C63" s="4" t="inlineStr">
        <is>
          <t>PV2 Techs</t>
        </is>
      </c>
      <c r="D63" s="13">
        <f>'INPUTS - Current State'!C12</f>
        <v/>
      </c>
      <c r="E63" s="13">
        <f>'INPUTS - Current State'!D12</f>
        <v/>
      </c>
      <c r="F63" s="19">
        <f>D63*E63*'INPUTS - Current State'!$C$19</f>
        <v/>
      </c>
      <c r="G63" s="19">
        <f>'DEMAND FORECAST'!$D$22</f>
        <v/>
      </c>
      <c r="H63" s="22">
        <f>IF(F63&gt;0,G63/F63,0)</f>
        <v/>
      </c>
      <c r="I63" s="23">
        <f>IF(H63&gt;1,(G63-F63),0)</f>
        <v/>
      </c>
      <c r="J63" s="18">
        <f>IF(H63=MAX($H$63:$H$66),"YES","")</f>
        <v/>
      </c>
    </row>
    <row r="64">
      <c r="B64" s="18" t="inlineStr"/>
      <c r="C64" s="4" t="inlineStr">
        <is>
          <t>Fulfillment</t>
        </is>
      </c>
      <c r="D64" s="13">
        <f>'INPUTS - Current State'!C13</f>
        <v/>
      </c>
      <c r="E64" s="13">
        <f>'INPUTS - Current State'!D13</f>
        <v/>
      </c>
      <c r="F64" s="19">
        <f>D64*E64*'INPUTS - Current State'!$C$19</f>
        <v/>
      </c>
      <c r="G64" s="19">
        <f>'DEMAND FORECAST'!$D$22</f>
        <v/>
      </c>
      <c r="H64" s="22">
        <f>IF(F64&gt;0,G64/F64,0)</f>
        <v/>
      </c>
      <c r="I64" s="23">
        <f>IF(H64&gt;1,(G64-F64),0)</f>
        <v/>
      </c>
      <c r="J64" s="18">
        <f>IF(H64=MAX($H$64:$H$67),"YES","")</f>
        <v/>
      </c>
    </row>
    <row r="66">
      <c r="B66" s="18" t="n">
        <v>12</v>
      </c>
      <c r="C66" s="4" t="inlineStr">
        <is>
          <t>Compounding</t>
        </is>
      </c>
      <c r="D66" s="13">
        <f>'INPUTS - Current State'!C10</f>
        <v/>
      </c>
      <c r="E66" s="13">
        <f>'INPUTS - Current State'!D10</f>
        <v/>
      </c>
      <c r="F66" s="19">
        <f>D66*E66*'INPUTS - Current State'!$C$19</f>
        <v/>
      </c>
      <c r="G66" s="19">
        <f>'DEMAND FORECAST'!$D$23</f>
        <v/>
      </c>
      <c r="H66" s="22">
        <f>IF(F66&gt;0,G66/F66,0)</f>
        <v/>
      </c>
      <c r="I66" s="23">
        <f>IF(H66&gt;1,(G66-F66),0)</f>
        <v/>
      </c>
      <c r="J66" s="18">
        <f>IF(H66=MAX($H$66:$H$69),"YES","")</f>
        <v/>
      </c>
    </row>
    <row r="67">
      <c r="B67" s="18" t="inlineStr"/>
      <c r="C67" s="4" t="inlineStr">
        <is>
          <t>PV1 Techs</t>
        </is>
      </c>
      <c r="D67" s="13">
        <f>'INPUTS - Current State'!C11</f>
        <v/>
      </c>
      <c r="E67" s="13">
        <f>'INPUTS - Current State'!D11</f>
        <v/>
      </c>
      <c r="F67" s="19">
        <f>D67*E67*'INPUTS - Current State'!$C$19</f>
        <v/>
      </c>
      <c r="G67" s="19">
        <f>'DEMAND FORECAST'!$D$23</f>
        <v/>
      </c>
      <c r="H67" s="22">
        <f>IF(F67&gt;0,G67/F67,0)</f>
        <v/>
      </c>
      <c r="I67" s="23">
        <f>IF(H67&gt;1,(G67-F67),0)</f>
        <v/>
      </c>
      <c r="J67" s="18">
        <f>IF(H67=MAX($H$67:$H$70),"YES","")</f>
        <v/>
      </c>
    </row>
    <row r="68">
      <c r="B68" s="18" t="inlineStr"/>
      <c r="C68" s="4" t="inlineStr">
        <is>
          <t>PV2 Techs</t>
        </is>
      </c>
      <c r="D68" s="13">
        <f>'INPUTS - Current State'!C12</f>
        <v/>
      </c>
      <c r="E68" s="13">
        <f>'INPUTS - Current State'!D12</f>
        <v/>
      </c>
      <c r="F68" s="19">
        <f>D68*E68*'INPUTS - Current State'!$C$19</f>
        <v/>
      </c>
      <c r="G68" s="19">
        <f>'DEMAND FORECAST'!$D$23</f>
        <v/>
      </c>
      <c r="H68" s="22">
        <f>IF(F68&gt;0,G68/F68,0)</f>
        <v/>
      </c>
      <c r="I68" s="23">
        <f>IF(H68&gt;1,(G68-F68),0)</f>
        <v/>
      </c>
      <c r="J68" s="18">
        <f>IF(H68=MAX($H$68:$H$71),"YES","")</f>
        <v/>
      </c>
    </row>
    <row r="69">
      <c r="B69" s="18" t="inlineStr"/>
      <c r="C69" s="4" t="inlineStr">
        <is>
          <t>Fulfillment</t>
        </is>
      </c>
      <c r="D69" s="13">
        <f>'INPUTS - Current State'!C13</f>
        <v/>
      </c>
      <c r="E69" s="13">
        <f>'INPUTS - Current State'!D13</f>
        <v/>
      </c>
      <c r="F69" s="19">
        <f>D69*E69*'INPUTS - Current State'!$C$19</f>
        <v/>
      </c>
      <c r="G69" s="19">
        <f>'DEMAND FORECAST'!$D$23</f>
        <v/>
      </c>
      <c r="H69" s="22">
        <f>IF(F69&gt;0,G69/F69,0)</f>
        <v/>
      </c>
      <c r="I69" s="23">
        <f>IF(H69&gt;1,(G69-F69),0)</f>
        <v/>
      </c>
      <c r="J69" s="18">
        <f>IF(H69=MAX($H$69:$H$72),"YES","")</f>
        <v/>
      </c>
    </row>
  </sheetData>
  <conditionalFormatting sqref="H11:H100">
    <cfRule type="cellIs" priority="1" operator="lessThan" dxfId="0">
      <formula>0.7</formula>
    </cfRule>
    <cfRule type="cellIs" priority="2" operator="between" dxfId="1">
      <formula>0.7</formula>
      <formula>0.9</formula>
    </cfRule>
    <cfRule type="cellIs" priority="3" operator="greaterThan" dxfId="2">
      <formula>0.9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8A745"/>
    <outlinePr summaryBelow="1" summaryRight="1"/>
    <pageSetUpPr/>
  </sheetPr>
  <dimension ref="B2:J67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</cols>
  <sheetData>
    <row r="2">
      <c r="B2" s="1" t="inlineStr">
        <is>
          <t>FACILITY &amp; EQUIPMENT CAPACITY</t>
        </is>
      </c>
    </row>
    <row r="3">
      <c r="B3" s="10" t="inlineStr">
        <is>
          <t>Track physical constraints: hoods, storage, and packing stations</t>
        </is>
      </c>
    </row>
    <row r="5">
      <c r="B5" s="2" t="inlineStr">
        <is>
          <t>CURRENT FACILITY STATUS</t>
        </is>
      </c>
    </row>
    <row r="7">
      <c r="B7" s="11" t="inlineStr">
        <is>
          <t>Resource</t>
        </is>
      </c>
      <c r="C7" s="11" t="inlineStr">
        <is>
          <t>Current</t>
        </is>
      </c>
      <c r="D7" s="11" t="inlineStr">
        <is>
          <t>Max</t>
        </is>
      </c>
      <c r="E7" s="11" t="inlineStr">
        <is>
          <t>Utilization</t>
        </is>
      </c>
    </row>
    <row r="8">
      <c r="B8" s="4" t="inlineStr">
        <is>
          <t>Compounding Hoods</t>
        </is>
      </c>
      <c r="C8" s="6">
        <f>'INPUTS - Current State'!C34</f>
        <v/>
      </c>
      <c r="D8" s="6">
        <f>'INPUTS - Current State'!D34</f>
        <v/>
      </c>
      <c r="E8" s="24">
        <f>C8/D8</f>
        <v/>
      </c>
    </row>
    <row r="9">
      <c r="B9" s="4" t="inlineStr">
        <is>
          <t>Storage (sq ft)</t>
        </is>
      </c>
      <c r="C9" s="6">
        <f>'INPUTS - Current State'!C35</f>
        <v/>
      </c>
      <c r="D9" s="6">
        <f>'INPUTS - Current State'!D35</f>
        <v/>
      </c>
      <c r="E9" s="24">
        <f>C9/D9</f>
        <v/>
      </c>
    </row>
    <row r="10">
      <c r="B10" s="4" t="inlineStr">
        <is>
          <t>Packing Stations</t>
        </is>
      </c>
      <c r="C10" s="6">
        <f>'INPUTS - Current State'!C36</f>
        <v/>
      </c>
      <c r="D10" s="6">
        <f>'INPUTS - Current State'!D36</f>
        <v/>
      </c>
      <c r="E10" s="24">
        <f>C10/D10</f>
        <v/>
      </c>
    </row>
    <row r="13">
      <c r="B13" s="2" t="inlineStr">
        <is>
          <t>FACILITY FORECAST (52 WEEKS)</t>
        </is>
      </c>
    </row>
    <row r="15">
      <c r="B15" s="11" t="inlineStr">
        <is>
          <t>Week</t>
        </is>
      </c>
      <c r="C15" s="11" t="inlineStr">
        <is>
          <t>Daily Orders</t>
        </is>
      </c>
      <c r="D15" s="11" t="inlineStr">
        <is>
          <t>Hoods Needed</t>
        </is>
      </c>
      <c r="E15" s="11" t="inlineStr">
        <is>
          <t>Hoods Avail</t>
        </is>
      </c>
      <c r="F15" s="11" t="inlineStr">
        <is>
          <t>Storage Needed</t>
        </is>
      </c>
      <c r="G15" s="11" t="inlineStr">
        <is>
          <t>Storage Avail</t>
        </is>
      </c>
      <c r="H15" s="11" t="inlineStr">
        <is>
          <t>Stations Needed</t>
        </is>
      </c>
      <c r="I15" s="11" t="inlineStr">
        <is>
          <t>Stations Avail</t>
        </is>
      </c>
      <c r="J15" s="11" t="inlineStr">
        <is>
          <t>Constraint?</t>
        </is>
      </c>
    </row>
    <row r="16">
      <c r="B16" s="18" t="n">
        <v>1</v>
      </c>
      <c r="C16" s="19">
        <f>'DEMAND FORECAST'!C12</f>
        <v/>
      </c>
      <c r="D16" s="6">
        <f>ROUNDUP(C16/'INPUTS - Current State'!$E$34,0)</f>
        <v/>
      </c>
      <c r="E16" s="6">
        <f>'INPUTS - Current State'!$C$34</f>
        <v/>
      </c>
      <c r="F16" s="19">
        <f>ROUNDUP(C16*'INPUTS - Current State'!$E$35,0)</f>
        <v/>
      </c>
      <c r="G16" s="19">
        <f>'INPUTS - Current State'!$C$35</f>
        <v/>
      </c>
      <c r="H16" s="6">
        <f>ROUNDUP(C16/'INPUTS - Current State'!$E$36,0)</f>
        <v/>
      </c>
      <c r="I16" s="6">
        <f>'INPUTS - Current State'!$C$36</f>
        <v/>
      </c>
      <c r="J16" s="18">
        <f>IF(OR(D16&gt;E16,F16&gt;G16,H16&gt;I16),"CONSTRAINT","")</f>
        <v/>
      </c>
    </row>
    <row r="17">
      <c r="B17" s="18" t="n">
        <v>2</v>
      </c>
      <c r="C17" s="19">
        <f>'DEMAND FORECAST'!C13</f>
        <v/>
      </c>
      <c r="D17" s="6">
        <f>ROUNDUP(C17/'INPUTS - Current State'!$E$34,0)</f>
        <v/>
      </c>
      <c r="E17" s="6">
        <f>'INPUTS - Current State'!$C$34</f>
        <v/>
      </c>
      <c r="F17" s="19">
        <f>ROUNDUP(C17*'INPUTS - Current State'!$E$35,0)</f>
        <v/>
      </c>
      <c r="G17" s="19">
        <f>'INPUTS - Current State'!$C$35</f>
        <v/>
      </c>
      <c r="H17" s="6">
        <f>ROUNDUP(C17/'INPUTS - Current State'!$E$36,0)</f>
        <v/>
      </c>
      <c r="I17" s="6">
        <f>'INPUTS - Current State'!$C$36</f>
        <v/>
      </c>
      <c r="J17" s="18">
        <f>IF(OR(D17&gt;E17,F17&gt;G17,H17&gt;I17),"CONSTRAINT","")</f>
        <v/>
      </c>
    </row>
    <row r="18">
      <c r="B18" s="18" t="n">
        <v>3</v>
      </c>
      <c r="C18" s="19">
        <f>'DEMAND FORECAST'!C14</f>
        <v/>
      </c>
      <c r="D18" s="6">
        <f>ROUNDUP(C18/'INPUTS - Current State'!$E$34,0)</f>
        <v/>
      </c>
      <c r="E18" s="6">
        <f>'INPUTS - Current State'!$C$34</f>
        <v/>
      </c>
      <c r="F18" s="19">
        <f>ROUNDUP(C18*'INPUTS - Current State'!$E$35,0)</f>
        <v/>
      </c>
      <c r="G18" s="19">
        <f>'INPUTS - Current State'!$C$35</f>
        <v/>
      </c>
      <c r="H18" s="6">
        <f>ROUNDUP(C18/'INPUTS - Current State'!$E$36,0)</f>
        <v/>
      </c>
      <c r="I18" s="6">
        <f>'INPUTS - Current State'!$C$36</f>
        <v/>
      </c>
      <c r="J18" s="18">
        <f>IF(OR(D18&gt;E18,F18&gt;G18,H18&gt;I18),"CONSTRAINT","")</f>
        <v/>
      </c>
    </row>
    <row r="19">
      <c r="B19" s="18" t="n">
        <v>4</v>
      </c>
      <c r="C19" s="19">
        <f>'DEMAND FORECAST'!C15</f>
        <v/>
      </c>
      <c r="D19" s="6">
        <f>ROUNDUP(C19/'INPUTS - Current State'!$E$34,0)</f>
        <v/>
      </c>
      <c r="E19" s="6">
        <f>'INPUTS - Current State'!$C$34</f>
        <v/>
      </c>
      <c r="F19" s="19">
        <f>ROUNDUP(C19*'INPUTS - Current State'!$E$35,0)</f>
        <v/>
      </c>
      <c r="G19" s="19">
        <f>'INPUTS - Current State'!$C$35</f>
        <v/>
      </c>
      <c r="H19" s="6">
        <f>ROUNDUP(C19/'INPUTS - Current State'!$E$36,0)</f>
        <v/>
      </c>
      <c r="I19" s="6">
        <f>'INPUTS - Current State'!$C$36</f>
        <v/>
      </c>
      <c r="J19" s="18">
        <f>IF(OR(D19&gt;E19,F19&gt;G19,H19&gt;I19),"CONSTRAINT","")</f>
        <v/>
      </c>
    </row>
    <row r="20">
      <c r="B20" s="18" t="n">
        <v>5</v>
      </c>
      <c r="C20" s="19">
        <f>'DEMAND FORECAST'!C16</f>
        <v/>
      </c>
      <c r="D20" s="6">
        <f>ROUNDUP(C20/'INPUTS - Current State'!$E$34,0)</f>
        <v/>
      </c>
      <c r="E20" s="6">
        <f>'INPUTS - Current State'!$C$34</f>
        <v/>
      </c>
      <c r="F20" s="19">
        <f>ROUNDUP(C20*'INPUTS - Current State'!$E$35,0)</f>
        <v/>
      </c>
      <c r="G20" s="19">
        <f>'INPUTS - Current State'!$C$35</f>
        <v/>
      </c>
      <c r="H20" s="6">
        <f>ROUNDUP(C20/'INPUTS - Current State'!$E$36,0)</f>
        <v/>
      </c>
      <c r="I20" s="6">
        <f>'INPUTS - Current State'!$C$36</f>
        <v/>
      </c>
      <c r="J20" s="18">
        <f>IF(OR(D20&gt;E20,F20&gt;G20,H20&gt;I20),"CONSTRAINT","")</f>
        <v/>
      </c>
    </row>
    <row r="21">
      <c r="B21" s="18" t="n">
        <v>6</v>
      </c>
      <c r="C21" s="19">
        <f>'DEMAND FORECAST'!C17</f>
        <v/>
      </c>
      <c r="D21" s="6">
        <f>ROUNDUP(C21/'INPUTS - Current State'!$E$34,0)</f>
        <v/>
      </c>
      <c r="E21" s="6">
        <f>'INPUTS - Current State'!$C$34</f>
        <v/>
      </c>
      <c r="F21" s="19">
        <f>ROUNDUP(C21*'INPUTS - Current State'!$E$35,0)</f>
        <v/>
      </c>
      <c r="G21" s="19">
        <f>'INPUTS - Current State'!$C$35</f>
        <v/>
      </c>
      <c r="H21" s="6">
        <f>ROUNDUP(C21/'INPUTS - Current State'!$E$36,0)</f>
        <v/>
      </c>
      <c r="I21" s="6">
        <f>'INPUTS - Current State'!$C$36</f>
        <v/>
      </c>
      <c r="J21" s="18">
        <f>IF(OR(D21&gt;E21,F21&gt;G21,H21&gt;I21),"CONSTRAINT","")</f>
        <v/>
      </c>
    </row>
    <row r="22">
      <c r="B22" s="18" t="n">
        <v>7</v>
      </c>
      <c r="C22" s="19">
        <f>'DEMAND FORECAST'!C18</f>
        <v/>
      </c>
      <c r="D22" s="6">
        <f>ROUNDUP(C22/'INPUTS - Current State'!$E$34,0)</f>
        <v/>
      </c>
      <c r="E22" s="6">
        <f>'INPUTS - Current State'!$C$34</f>
        <v/>
      </c>
      <c r="F22" s="19">
        <f>ROUNDUP(C22*'INPUTS - Current State'!$E$35,0)</f>
        <v/>
      </c>
      <c r="G22" s="19">
        <f>'INPUTS - Current State'!$C$35</f>
        <v/>
      </c>
      <c r="H22" s="6">
        <f>ROUNDUP(C22/'INPUTS - Current State'!$E$36,0)</f>
        <v/>
      </c>
      <c r="I22" s="6">
        <f>'INPUTS - Current State'!$C$36</f>
        <v/>
      </c>
      <c r="J22" s="18">
        <f>IF(OR(D22&gt;E22,F22&gt;G22,H22&gt;I22),"CONSTRAINT","")</f>
        <v/>
      </c>
    </row>
    <row r="23">
      <c r="B23" s="18" t="n">
        <v>8</v>
      </c>
      <c r="C23" s="19">
        <f>'DEMAND FORECAST'!C19</f>
        <v/>
      </c>
      <c r="D23" s="6">
        <f>ROUNDUP(C23/'INPUTS - Current State'!$E$34,0)</f>
        <v/>
      </c>
      <c r="E23" s="6">
        <f>'INPUTS - Current State'!$C$34</f>
        <v/>
      </c>
      <c r="F23" s="19">
        <f>ROUNDUP(C23*'INPUTS - Current State'!$E$35,0)</f>
        <v/>
      </c>
      <c r="G23" s="19">
        <f>'INPUTS - Current State'!$C$35</f>
        <v/>
      </c>
      <c r="H23" s="6">
        <f>ROUNDUP(C23/'INPUTS - Current State'!$E$36,0)</f>
        <v/>
      </c>
      <c r="I23" s="6">
        <f>'INPUTS - Current State'!$C$36</f>
        <v/>
      </c>
      <c r="J23" s="18">
        <f>IF(OR(D23&gt;E23,F23&gt;G23,H23&gt;I23),"CONSTRAINT","")</f>
        <v/>
      </c>
    </row>
    <row r="24">
      <c r="B24" s="18" t="n">
        <v>9</v>
      </c>
      <c r="C24" s="19">
        <f>'DEMAND FORECAST'!C20</f>
        <v/>
      </c>
      <c r="D24" s="6">
        <f>ROUNDUP(C24/'INPUTS - Current State'!$E$34,0)</f>
        <v/>
      </c>
      <c r="E24" s="6">
        <f>'INPUTS - Current State'!$C$34</f>
        <v/>
      </c>
      <c r="F24" s="19">
        <f>ROUNDUP(C24*'INPUTS - Current State'!$E$35,0)</f>
        <v/>
      </c>
      <c r="G24" s="19">
        <f>'INPUTS - Current State'!$C$35</f>
        <v/>
      </c>
      <c r="H24" s="6">
        <f>ROUNDUP(C24/'INPUTS - Current State'!$E$36,0)</f>
        <v/>
      </c>
      <c r="I24" s="6">
        <f>'INPUTS - Current State'!$C$36</f>
        <v/>
      </c>
      <c r="J24" s="18">
        <f>IF(OR(D24&gt;E24,F24&gt;G24,H24&gt;I24),"CONSTRAINT","")</f>
        <v/>
      </c>
    </row>
    <row r="25">
      <c r="B25" s="18" t="n">
        <v>10</v>
      </c>
      <c r="C25" s="19">
        <f>'DEMAND FORECAST'!C21</f>
        <v/>
      </c>
      <c r="D25" s="6">
        <f>ROUNDUP(C25/'INPUTS - Current State'!$E$34,0)</f>
        <v/>
      </c>
      <c r="E25" s="6">
        <f>'INPUTS - Current State'!$C$34</f>
        <v/>
      </c>
      <c r="F25" s="19">
        <f>ROUNDUP(C25*'INPUTS - Current State'!$E$35,0)</f>
        <v/>
      </c>
      <c r="G25" s="19">
        <f>'INPUTS - Current State'!$C$35</f>
        <v/>
      </c>
      <c r="H25" s="6">
        <f>ROUNDUP(C25/'INPUTS - Current State'!$E$36,0)</f>
        <v/>
      </c>
      <c r="I25" s="6">
        <f>'INPUTS - Current State'!$C$36</f>
        <v/>
      </c>
      <c r="J25" s="18">
        <f>IF(OR(D25&gt;E25,F25&gt;G25,H25&gt;I25),"CONSTRAINT","")</f>
        <v/>
      </c>
    </row>
    <row r="26">
      <c r="B26" s="18" t="n">
        <v>11</v>
      </c>
      <c r="C26" s="19">
        <f>'DEMAND FORECAST'!C22</f>
        <v/>
      </c>
      <c r="D26" s="6">
        <f>ROUNDUP(C26/'INPUTS - Current State'!$E$34,0)</f>
        <v/>
      </c>
      <c r="E26" s="6">
        <f>'INPUTS - Current State'!$C$34</f>
        <v/>
      </c>
      <c r="F26" s="19">
        <f>ROUNDUP(C26*'INPUTS - Current State'!$E$35,0)</f>
        <v/>
      </c>
      <c r="G26" s="19">
        <f>'INPUTS - Current State'!$C$35</f>
        <v/>
      </c>
      <c r="H26" s="6">
        <f>ROUNDUP(C26/'INPUTS - Current State'!$E$36,0)</f>
        <v/>
      </c>
      <c r="I26" s="6">
        <f>'INPUTS - Current State'!$C$36</f>
        <v/>
      </c>
      <c r="J26" s="18">
        <f>IF(OR(D26&gt;E26,F26&gt;G26,H26&gt;I26),"CONSTRAINT","")</f>
        <v/>
      </c>
    </row>
    <row r="27">
      <c r="B27" s="18" t="n">
        <v>12</v>
      </c>
      <c r="C27" s="19">
        <f>'DEMAND FORECAST'!C23</f>
        <v/>
      </c>
      <c r="D27" s="6">
        <f>ROUNDUP(C27/'INPUTS - Current State'!$E$34,0)</f>
        <v/>
      </c>
      <c r="E27" s="6">
        <f>'INPUTS - Current State'!$C$34</f>
        <v/>
      </c>
      <c r="F27" s="19">
        <f>ROUNDUP(C27*'INPUTS - Current State'!$E$35,0)</f>
        <v/>
      </c>
      <c r="G27" s="19">
        <f>'INPUTS - Current State'!$C$35</f>
        <v/>
      </c>
      <c r="H27" s="6">
        <f>ROUNDUP(C27/'INPUTS - Current State'!$E$36,0)</f>
        <v/>
      </c>
      <c r="I27" s="6">
        <f>'INPUTS - Current State'!$C$36</f>
        <v/>
      </c>
      <c r="J27" s="18">
        <f>IF(OR(D27&gt;E27,F27&gt;G27,H27&gt;I27),"CONSTRAINT","")</f>
        <v/>
      </c>
    </row>
    <row r="28">
      <c r="B28" s="18" t="n">
        <v>13</v>
      </c>
      <c r="C28" s="19">
        <f>'DEMAND FORECAST'!C24</f>
        <v/>
      </c>
      <c r="D28" s="6">
        <f>ROUNDUP(C28/'INPUTS - Current State'!$E$34,0)</f>
        <v/>
      </c>
      <c r="E28" s="6">
        <f>'INPUTS - Current State'!$C$34</f>
        <v/>
      </c>
      <c r="F28" s="19">
        <f>ROUNDUP(C28*'INPUTS - Current State'!$E$35,0)</f>
        <v/>
      </c>
      <c r="G28" s="19">
        <f>'INPUTS - Current State'!$C$35</f>
        <v/>
      </c>
      <c r="H28" s="6">
        <f>ROUNDUP(C28/'INPUTS - Current State'!$E$36,0)</f>
        <v/>
      </c>
      <c r="I28" s="6">
        <f>'INPUTS - Current State'!$C$36</f>
        <v/>
      </c>
      <c r="J28" s="18">
        <f>IF(OR(D28&gt;E28,F28&gt;G28,H28&gt;I28),"CONSTRAINT","")</f>
        <v/>
      </c>
    </row>
    <row r="29">
      <c r="B29" s="18" t="n">
        <v>14</v>
      </c>
      <c r="C29" s="19">
        <f>'DEMAND FORECAST'!C25</f>
        <v/>
      </c>
      <c r="D29" s="6">
        <f>ROUNDUP(C29/'INPUTS - Current State'!$E$34,0)</f>
        <v/>
      </c>
      <c r="E29" s="6">
        <f>'INPUTS - Current State'!$C$34</f>
        <v/>
      </c>
      <c r="F29" s="19">
        <f>ROUNDUP(C29*'INPUTS - Current State'!$E$35,0)</f>
        <v/>
      </c>
      <c r="G29" s="19">
        <f>'INPUTS - Current State'!$C$35</f>
        <v/>
      </c>
      <c r="H29" s="6">
        <f>ROUNDUP(C29/'INPUTS - Current State'!$E$36,0)</f>
        <v/>
      </c>
      <c r="I29" s="6">
        <f>'INPUTS - Current State'!$C$36</f>
        <v/>
      </c>
      <c r="J29" s="18">
        <f>IF(OR(D29&gt;E29,F29&gt;G29,H29&gt;I29),"CONSTRAINT","")</f>
        <v/>
      </c>
    </row>
    <row r="30">
      <c r="B30" s="18" t="n">
        <v>15</v>
      </c>
      <c r="C30" s="19">
        <f>'DEMAND FORECAST'!C26</f>
        <v/>
      </c>
      <c r="D30" s="6">
        <f>ROUNDUP(C30/'INPUTS - Current State'!$E$34,0)</f>
        <v/>
      </c>
      <c r="E30" s="6">
        <f>'INPUTS - Current State'!$C$34</f>
        <v/>
      </c>
      <c r="F30" s="19">
        <f>ROUNDUP(C30*'INPUTS - Current State'!$E$35,0)</f>
        <v/>
      </c>
      <c r="G30" s="19">
        <f>'INPUTS - Current State'!$C$35</f>
        <v/>
      </c>
      <c r="H30" s="6">
        <f>ROUNDUP(C30/'INPUTS - Current State'!$E$36,0)</f>
        <v/>
      </c>
      <c r="I30" s="6">
        <f>'INPUTS - Current State'!$C$36</f>
        <v/>
      </c>
      <c r="J30" s="18">
        <f>IF(OR(D30&gt;E30,F30&gt;G30,H30&gt;I30),"CONSTRAINT","")</f>
        <v/>
      </c>
    </row>
    <row r="31">
      <c r="B31" s="18" t="n">
        <v>16</v>
      </c>
      <c r="C31" s="19">
        <f>'DEMAND FORECAST'!C27</f>
        <v/>
      </c>
      <c r="D31" s="6">
        <f>ROUNDUP(C31/'INPUTS - Current State'!$E$34,0)</f>
        <v/>
      </c>
      <c r="E31" s="6">
        <f>'INPUTS - Current State'!$C$34</f>
        <v/>
      </c>
      <c r="F31" s="19">
        <f>ROUNDUP(C31*'INPUTS - Current State'!$E$35,0)</f>
        <v/>
      </c>
      <c r="G31" s="19">
        <f>'INPUTS - Current State'!$C$35</f>
        <v/>
      </c>
      <c r="H31" s="6">
        <f>ROUNDUP(C31/'INPUTS - Current State'!$E$36,0)</f>
        <v/>
      </c>
      <c r="I31" s="6">
        <f>'INPUTS - Current State'!$C$36</f>
        <v/>
      </c>
      <c r="J31" s="18">
        <f>IF(OR(D31&gt;E31,F31&gt;G31,H31&gt;I31),"CONSTRAINT","")</f>
        <v/>
      </c>
    </row>
    <row r="32">
      <c r="B32" s="18" t="n">
        <v>17</v>
      </c>
      <c r="C32" s="19">
        <f>'DEMAND FORECAST'!C28</f>
        <v/>
      </c>
      <c r="D32" s="6">
        <f>ROUNDUP(C32/'INPUTS - Current State'!$E$34,0)</f>
        <v/>
      </c>
      <c r="E32" s="6">
        <f>'INPUTS - Current State'!$C$34</f>
        <v/>
      </c>
      <c r="F32" s="19">
        <f>ROUNDUP(C32*'INPUTS - Current State'!$E$35,0)</f>
        <v/>
      </c>
      <c r="G32" s="19">
        <f>'INPUTS - Current State'!$C$35</f>
        <v/>
      </c>
      <c r="H32" s="6">
        <f>ROUNDUP(C32/'INPUTS - Current State'!$E$36,0)</f>
        <v/>
      </c>
      <c r="I32" s="6">
        <f>'INPUTS - Current State'!$C$36</f>
        <v/>
      </c>
      <c r="J32" s="18">
        <f>IF(OR(D32&gt;E32,F32&gt;G32,H32&gt;I32),"CONSTRAINT","")</f>
        <v/>
      </c>
    </row>
    <row r="33">
      <c r="B33" s="18" t="n">
        <v>18</v>
      </c>
      <c r="C33" s="19">
        <f>'DEMAND FORECAST'!C29</f>
        <v/>
      </c>
      <c r="D33" s="6">
        <f>ROUNDUP(C33/'INPUTS - Current State'!$E$34,0)</f>
        <v/>
      </c>
      <c r="E33" s="6">
        <f>'INPUTS - Current State'!$C$34</f>
        <v/>
      </c>
      <c r="F33" s="19">
        <f>ROUNDUP(C33*'INPUTS - Current State'!$E$35,0)</f>
        <v/>
      </c>
      <c r="G33" s="19">
        <f>'INPUTS - Current State'!$C$35</f>
        <v/>
      </c>
      <c r="H33" s="6">
        <f>ROUNDUP(C33/'INPUTS - Current State'!$E$36,0)</f>
        <v/>
      </c>
      <c r="I33" s="6">
        <f>'INPUTS - Current State'!$C$36</f>
        <v/>
      </c>
      <c r="J33" s="18">
        <f>IF(OR(D33&gt;E33,F33&gt;G33,H33&gt;I33),"CONSTRAINT","")</f>
        <v/>
      </c>
    </row>
    <row r="34">
      <c r="B34" s="18" t="n">
        <v>19</v>
      </c>
      <c r="C34" s="19">
        <f>'DEMAND FORECAST'!C30</f>
        <v/>
      </c>
      <c r="D34" s="6">
        <f>ROUNDUP(C34/'INPUTS - Current State'!$E$34,0)</f>
        <v/>
      </c>
      <c r="E34" s="6">
        <f>'INPUTS - Current State'!$C$34</f>
        <v/>
      </c>
      <c r="F34" s="19">
        <f>ROUNDUP(C34*'INPUTS - Current State'!$E$35,0)</f>
        <v/>
      </c>
      <c r="G34" s="19">
        <f>'INPUTS - Current State'!$C$35</f>
        <v/>
      </c>
      <c r="H34" s="6">
        <f>ROUNDUP(C34/'INPUTS - Current State'!$E$36,0)</f>
        <v/>
      </c>
      <c r="I34" s="6">
        <f>'INPUTS - Current State'!$C$36</f>
        <v/>
      </c>
      <c r="J34" s="18">
        <f>IF(OR(D34&gt;E34,F34&gt;G34,H34&gt;I34),"CONSTRAINT","")</f>
        <v/>
      </c>
    </row>
    <row r="35">
      <c r="B35" s="18" t="n">
        <v>20</v>
      </c>
      <c r="C35" s="19">
        <f>'DEMAND FORECAST'!C31</f>
        <v/>
      </c>
      <c r="D35" s="6">
        <f>ROUNDUP(C35/'INPUTS - Current State'!$E$34,0)</f>
        <v/>
      </c>
      <c r="E35" s="6">
        <f>'INPUTS - Current State'!$C$34</f>
        <v/>
      </c>
      <c r="F35" s="19">
        <f>ROUNDUP(C35*'INPUTS - Current State'!$E$35,0)</f>
        <v/>
      </c>
      <c r="G35" s="19">
        <f>'INPUTS - Current State'!$C$35</f>
        <v/>
      </c>
      <c r="H35" s="6">
        <f>ROUNDUP(C35/'INPUTS - Current State'!$E$36,0)</f>
        <v/>
      </c>
      <c r="I35" s="6">
        <f>'INPUTS - Current State'!$C$36</f>
        <v/>
      </c>
      <c r="J35" s="18">
        <f>IF(OR(D35&gt;E35,F35&gt;G35,H35&gt;I35),"CONSTRAINT","")</f>
        <v/>
      </c>
    </row>
    <row r="36">
      <c r="B36" s="18" t="n">
        <v>21</v>
      </c>
      <c r="C36" s="19">
        <f>'DEMAND FORECAST'!C32</f>
        <v/>
      </c>
      <c r="D36" s="6">
        <f>ROUNDUP(C36/'INPUTS - Current State'!$E$34,0)</f>
        <v/>
      </c>
      <c r="E36" s="6">
        <f>'INPUTS - Current State'!$C$34</f>
        <v/>
      </c>
      <c r="F36" s="19">
        <f>ROUNDUP(C36*'INPUTS - Current State'!$E$35,0)</f>
        <v/>
      </c>
      <c r="G36" s="19">
        <f>'INPUTS - Current State'!$C$35</f>
        <v/>
      </c>
      <c r="H36" s="6">
        <f>ROUNDUP(C36/'INPUTS - Current State'!$E$36,0)</f>
        <v/>
      </c>
      <c r="I36" s="6">
        <f>'INPUTS - Current State'!$C$36</f>
        <v/>
      </c>
      <c r="J36" s="18">
        <f>IF(OR(D36&gt;E36,F36&gt;G36,H36&gt;I36),"CONSTRAINT","")</f>
        <v/>
      </c>
    </row>
    <row r="37">
      <c r="B37" s="18" t="n">
        <v>22</v>
      </c>
      <c r="C37" s="19">
        <f>'DEMAND FORECAST'!C33</f>
        <v/>
      </c>
      <c r="D37" s="6">
        <f>ROUNDUP(C37/'INPUTS - Current State'!$E$34,0)</f>
        <v/>
      </c>
      <c r="E37" s="6">
        <f>'INPUTS - Current State'!$C$34</f>
        <v/>
      </c>
      <c r="F37" s="19">
        <f>ROUNDUP(C37*'INPUTS - Current State'!$E$35,0)</f>
        <v/>
      </c>
      <c r="G37" s="19">
        <f>'INPUTS - Current State'!$C$35</f>
        <v/>
      </c>
      <c r="H37" s="6">
        <f>ROUNDUP(C37/'INPUTS - Current State'!$E$36,0)</f>
        <v/>
      </c>
      <c r="I37" s="6">
        <f>'INPUTS - Current State'!$C$36</f>
        <v/>
      </c>
      <c r="J37" s="18">
        <f>IF(OR(D37&gt;E37,F37&gt;G37,H37&gt;I37),"CONSTRAINT","")</f>
        <v/>
      </c>
    </row>
    <row r="38">
      <c r="B38" s="18" t="n">
        <v>23</v>
      </c>
      <c r="C38" s="19">
        <f>'DEMAND FORECAST'!C34</f>
        <v/>
      </c>
      <c r="D38" s="6">
        <f>ROUNDUP(C38/'INPUTS - Current State'!$E$34,0)</f>
        <v/>
      </c>
      <c r="E38" s="6">
        <f>'INPUTS - Current State'!$C$34</f>
        <v/>
      </c>
      <c r="F38" s="19">
        <f>ROUNDUP(C38*'INPUTS - Current State'!$E$35,0)</f>
        <v/>
      </c>
      <c r="G38" s="19">
        <f>'INPUTS - Current State'!$C$35</f>
        <v/>
      </c>
      <c r="H38" s="6">
        <f>ROUNDUP(C38/'INPUTS - Current State'!$E$36,0)</f>
        <v/>
      </c>
      <c r="I38" s="6">
        <f>'INPUTS - Current State'!$C$36</f>
        <v/>
      </c>
      <c r="J38" s="18">
        <f>IF(OR(D38&gt;E38,F38&gt;G38,H38&gt;I38),"CONSTRAINT","")</f>
        <v/>
      </c>
    </row>
    <row r="39">
      <c r="B39" s="18" t="n">
        <v>24</v>
      </c>
      <c r="C39" s="19">
        <f>'DEMAND FORECAST'!C35</f>
        <v/>
      </c>
      <c r="D39" s="6">
        <f>ROUNDUP(C39/'INPUTS - Current State'!$E$34,0)</f>
        <v/>
      </c>
      <c r="E39" s="6">
        <f>'INPUTS - Current State'!$C$34</f>
        <v/>
      </c>
      <c r="F39" s="19">
        <f>ROUNDUP(C39*'INPUTS - Current State'!$E$35,0)</f>
        <v/>
      </c>
      <c r="G39" s="19">
        <f>'INPUTS - Current State'!$C$35</f>
        <v/>
      </c>
      <c r="H39" s="6">
        <f>ROUNDUP(C39/'INPUTS - Current State'!$E$36,0)</f>
        <v/>
      </c>
      <c r="I39" s="6">
        <f>'INPUTS - Current State'!$C$36</f>
        <v/>
      </c>
      <c r="J39" s="18">
        <f>IF(OR(D39&gt;E39,F39&gt;G39,H39&gt;I39),"CONSTRAINT","")</f>
        <v/>
      </c>
    </row>
    <row r="40">
      <c r="B40" s="18" t="n">
        <v>25</v>
      </c>
      <c r="C40" s="19">
        <f>'DEMAND FORECAST'!C36</f>
        <v/>
      </c>
      <c r="D40" s="6">
        <f>ROUNDUP(C40/'INPUTS - Current State'!$E$34,0)</f>
        <v/>
      </c>
      <c r="E40" s="6">
        <f>'INPUTS - Current State'!$C$34</f>
        <v/>
      </c>
      <c r="F40" s="19">
        <f>ROUNDUP(C40*'INPUTS - Current State'!$E$35,0)</f>
        <v/>
      </c>
      <c r="G40" s="19">
        <f>'INPUTS - Current State'!$C$35</f>
        <v/>
      </c>
      <c r="H40" s="6">
        <f>ROUNDUP(C40/'INPUTS - Current State'!$E$36,0)</f>
        <v/>
      </c>
      <c r="I40" s="6">
        <f>'INPUTS - Current State'!$C$36</f>
        <v/>
      </c>
      <c r="J40" s="18">
        <f>IF(OR(D40&gt;E40,F40&gt;G40,H40&gt;I40),"CONSTRAINT","")</f>
        <v/>
      </c>
    </row>
    <row r="41">
      <c r="B41" s="18" t="n">
        <v>26</v>
      </c>
      <c r="C41" s="19">
        <f>'DEMAND FORECAST'!C37</f>
        <v/>
      </c>
      <c r="D41" s="6">
        <f>ROUNDUP(C41/'INPUTS - Current State'!$E$34,0)</f>
        <v/>
      </c>
      <c r="E41" s="6">
        <f>'INPUTS - Current State'!$C$34</f>
        <v/>
      </c>
      <c r="F41" s="19">
        <f>ROUNDUP(C41*'INPUTS - Current State'!$E$35,0)</f>
        <v/>
      </c>
      <c r="G41" s="19">
        <f>'INPUTS - Current State'!$C$35</f>
        <v/>
      </c>
      <c r="H41" s="6">
        <f>ROUNDUP(C41/'INPUTS - Current State'!$E$36,0)</f>
        <v/>
      </c>
      <c r="I41" s="6">
        <f>'INPUTS - Current State'!$C$36</f>
        <v/>
      </c>
      <c r="J41" s="18">
        <f>IF(OR(D41&gt;E41,F41&gt;G41,H41&gt;I41),"CONSTRAINT","")</f>
        <v/>
      </c>
    </row>
    <row r="42">
      <c r="B42" s="18" t="n">
        <v>27</v>
      </c>
      <c r="C42" s="19">
        <f>'DEMAND FORECAST'!C38</f>
        <v/>
      </c>
      <c r="D42" s="6">
        <f>ROUNDUP(C42/'INPUTS - Current State'!$E$34,0)</f>
        <v/>
      </c>
      <c r="E42" s="6">
        <f>'INPUTS - Current State'!$C$34</f>
        <v/>
      </c>
      <c r="F42" s="19">
        <f>ROUNDUP(C42*'INPUTS - Current State'!$E$35,0)</f>
        <v/>
      </c>
      <c r="G42" s="19">
        <f>'INPUTS - Current State'!$C$35</f>
        <v/>
      </c>
      <c r="H42" s="6">
        <f>ROUNDUP(C42/'INPUTS - Current State'!$E$36,0)</f>
        <v/>
      </c>
      <c r="I42" s="6">
        <f>'INPUTS - Current State'!$C$36</f>
        <v/>
      </c>
      <c r="J42" s="18">
        <f>IF(OR(D42&gt;E42,F42&gt;G42,H42&gt;I42),"CONSTRAINT","")</f>
        <v/>
      </c>
    </row>
    <row r="43">
      <c r="B43" s="18" t="n">
        <v>28</v>
      </c>
      <c r="C43" s="19">
        <f>'DEMAND FORECAST'!C39</f>
        <v/>
      </c>
      <c r="D43" s="6">
        <f>ROUNDUP(C43/'INPUTS - Current State'!$E$34,0)</f>
        <v/>
      </c>
      <c r="E43" s="6">
        <f>'INPUTS - Current State'!$C$34</f>
        <v/>
      </c>
      <c r="F43" s="19">
        <f>ROUNDUP(C43*'INPUTS - Current State'!$E$35,0)</f>
        <v/>
      </c>
      <c r="G43" s="19">
        <f>'INPUTS - Current State'!$C$35</f>
        <v/>
      </c>
      <c r="H43" s="6">
        <f>ROUNDUP(C43/'INPUTS - Current State'!$E$36,0)</f>
        <v/>
      </c>
      <c r="I43" s="6">
        <f>'INPUTS - Current State'!$C$36</f>
        <v/>
      </c>
      <c r="J43" s="18">
        <f>IF(OR(D43&gt;E43,F43&gt;G43,H43&gt;I43),"CONSTRAINT","")</f>
        <v/>
      </c>
    </row>
    <row r="44">
      <c r="B44" s="18" t="n">
        <v>29</v>
      </c>
      <c r="C44" s="19">
        <f>'DEMAND FORECAST'!C40</f>
        <v/>
      </c>
      <c r="D44" s="6">
        <f>ROUNDUP(C44/'INPUTS - Current State'!$E$34,0)</f>
        <v/>
      </c>
      <c r="E44" s="6">
        <f>'INPUTS - Current State'!$C$34</f>
        <v/>
      </c>
      <c r="F44" s="19">
        <f>ROUNDUP(C44*'INPUTS - Current State'!$E$35,0)</f>
        <v/>
      </c>
      <c r="G44" s="19">
        <f>'INPUTS - Current State'!$C$35</f>
        <v/>
      </c>
      <c r="H44" s="6">
        <f>ROUNDUP(C44/'INPUTS - Current State'!$E$36,0)</f>
        <v/>
      </c>
      <c r="I44" s="6">
        <f>'INPUTS - Current State'!$C$36</f>
        <v/>
      </c>
      <c r="J44" s="18">
        <f>IF(OR(D44&gt;E44,F44&gt;G44,H44&gt;I44),"CONSTRAINT","")</f>
        <v/>
      </c>
    </row>
    <row r="45">
      <c r="B45" s="18" t="n">
        <v>30</v>
      </c>
      <c r="C45" s="19">
        <f>'DEMAND FORECAST'!C41</f>
        <v/>
      </c>
      <c r="D45" s="6">
        <f>ROUNDUP(C45/'INPUTS - Current State'!$E$34,0)</f>
        <v/>
      </c>
      <c r="E45" s="6">
        <f>'INPUTS - Current State'!$C$34</f>
        <v/>
      </c>
      <c r="F45" s="19">
        <f>ROUNDUP(C45*'INPUTS - Current State'!$E$35,0)</f>
        <v/>
      </c>
      <c r="G45" s="19">
        <f>'INPUTS - Current State'!$C$35</f>
        <v/>
      </c>
      <c r="H45" s="6">
        <f>ROUNDUP(C45/'INPUTS - Current State'!$E$36,0)</f>
        <v/>
      </c>
      <c r="I45" s="6">
        <f>'INPUTS - Current State'!$C$36</f>
        <v/>
      </c>
      <c r="J45" s="18">
        <f>IF(OR(D45&gt;E45,F45&gt;G45,H45&gt;I45),"CONSTRAINT","")</f>
        <v/>
      </c>
    </row>
    <row r="46">
      <c r="B46" s="18" t="n">
        <v>31</v>
      </c>
      <c r="C46" s="19">
        <f>'DEMAND FORECAST'!C42</f>
        <v/>
      </c>
      <c r="D46" s="6">
        <f>ROUNDUP(C46/'INPUTS - Current State'!$E$34,0)</f>
        <v/>
      </c>
      <c r="E46" s="6">
        <f>'INPUTS - Current State'!$C$34</f>
        <v/>
      </c>
      <c r="F46" s="19">
        <f>ROUNDUP(C46*'INPUTS - Current State'!$E$35,0)</f>
        <v/>
      </c>
      <c r="G46" s="19">
        <f>'INPUTS - Current State'!$C$35</f>
        <v/>
      </c>
      <c r="H46" s="6">
        <f>ROUNDUP(C46/'INPUTS - Current State'!$E$36,0)</f>
        <v/>
      </c>
      <c r="I46" s="6">
        <f>'INPUTS - Current State'!$C$36</f>
        <v/>
      </c>
      <c r="J46" s="18">
        <f>IF(OR(D46&gt;E46,F46&gt;G46,H46&gt;I46),"CONSTRAINT","")</f>
        <v/>
      </c>
    </row>
    <row r="47">
      <c r="B47" s="18" t="n">
        <v>32</v>
      </c>
      <c r="C47" s="19">
        <f>'DEMAND FORECAST'!C43</f>
        <v/>
      </c>
      <c r="D47" s="6">
        <f>ROUNDUP(C47/'INPUTS - Current State'!$E$34,0)</f>
        <v/>
      </c>
      <c r="E47" s="6">
        <f>'INPUTS - Current State'!$C$34</f>
        <v/>
      </c>
      <c r="F47" s="19">
        <f>ROUNDUP(C47*'INPUTS - Current State'!$E$35,0)</f>
        <v/>
      </c>
      <c r="G47" s="19">
        <f>'INPUTS - Current State'!$C$35</f>
        <v/>
      </c>
      <c r="H47" s="6">
        <f>ROUNDUP(C47/'INPUTS - Current State'!$E$36,0)</f>
        <v/>
      </c>
      <c r="I47" s="6">
        <f>'INPUTS - Current State'!$C$36</f>
        <v/>
      </c>
      <c r="J47" s="18">
        <f>IF(OR(D47&gt;E47,F47&gt;G47,H47&gt;I47),"CONSTRAINT","")</f>
        <v/>
      </c>
    </row>
    <row r="48">
      <c r="B48" s="18" t="n">
        <v>33</v>
      </c>
      <c r="C48" s="19">
        <f>'DEMAND FORECAST'!C44</f>
        <v/>
      </c>
      <c r="D48" s="6">
        <f>ROUNDUP(C48/'INPUTS - Current State'!$E$34,0)</f>
        <v/>
      </c>
      <c r="E48" s="6">
        <f>'INPUTS - Current State'!$C$34</f>
        <v/>
      </c>
      <c r="F48" s="19">
        <f>ROUNDUP(C48*'INPUTS - Current State'!$E$35,0)</f>
        <v/>
      </c>
      <c r="G48" s="19">
        <f>'INPUTS - Current State'!$C$35</f>
        <v/>
      </c>
      <c r="H48" s="6">
        <f>ROUNDUP(C48/'INPUTS - Current State'!$E$36,0)</f>
        <v/>
      </c>
      <c r="I48" s="6">
        <f>'INPUTS - Current State'!$C$36</f>
        <v/>
      </c>
      <c r="J48" s="18">
        <f>IF(OR(D48&gt;E48,F48&gt;G48,H48&gt;I48),"CONSTRAINT","")</f>
        <v/>
      </c>
    </row>
    <row r="49">
      <c r="B49" s="18" t="n">
        <v>34</v>
      </c>
      <c r="C49" s="19">
        <f>'DEMAND FORECAST'!C45</f>
        <v/>
      </c>
      <c r="D49" s="6">
        <f>ROUNDUP(C49/'INPUTS - Current State'!$E$34,0)</f>
        <v/>
      </c>
      <c r="E49" s="6">
        <f>'INPUTS - Current State'!$C$34</f>
        <v/>
      </c>
      <c r="F49" s="19">
        <f>ROUNDUP(C49*'INPUTS - Current State'!$E$35,0)</f>
        <v/>
      </c>
      <c r="G49" s="19">
        <f>'INPUTS - Current State'!$C$35</f>
        <v/>
      </c>
      <c r="H49" s="6">
        <f>ROUNDUP(C49/'INPUTS - Current State'!$E$36,0)</f>
        <v/>
      </c>
      <c r="I49" s="6">
        <f>'INPUTS - Current State'!$C$36</f>
        <v/>
      </c>
      <c r="J49" s="18">
        <f>IF(OR(D49&gt;E49,F49&gt;G49,H49&gt;I49),"CONSTRAINT","")</f>
        <v/>
      </c>
    </row>
    <row r="50">
      <c r="B50" s="18" t="n">
        <v>35</v>
      </c>
      <c r="C50" s="19">
        <f>'DEMAND FORECAST'!C46</f>
        <v/>
      </c>
      <c r="D50" s="6">
        <f>ROUNDUP(C50/'INPUTS - Current State'!$E$34,0)</f>
        <v/>
      </c>
      <c r="E50" s="6">
        <f>'INPUTS - Current State'!$C$34</f>
        <v/>
      </c>
      <c r="F50" s="19">
        <f>ROUNDUP(C50*'INPUTS - Current State'!$E$35,0)</f>
        <v/>
      </c>
      <c r="G50" s="19">
        <f>'INPUTS - Current State'!$C$35</f>
        <v/>
      </c>
      <c r="H50" s="6">
        <f>ROUNDUP(C50/'INPUTS - Current State'!$E$36,0)</f>
        <v/>
      </c>
      <c r="I50" s="6">
        <f>'INPUTS - Current State'!$C$36</f>
        <v/>
      </c>
      <c r="J50" s="18">
        <f>IF(OR(D50&gt;E50,F50&gt;G50,H50&gt;I50),"CONSTRAINT","")</f>
        <v/>
      </c>
    </row>
    <row r="51">
      <c r="B51" s="18" t="n">
        <v>36</v>
      </c>
      <c r="C51" s="19">
        <f>'DEMAND FORECAST'!C47</f>
        <v/>
      </c>
      <c r="D51" s="6">
        <f>ROUNDUP(C51/'INPUTS - Current State'!$E$34,0)</f>
        <v/>
      </c>
      <c r="E51" s="6">
        <f>'INPUTS - Current State'!$C$34</f>
        <v/>
      </c>
      <c r="F51" s="19">
        <f>ROUNDUP(C51*'INPUTS - Current State'!$E$35,0)</f>
        <v/>
      </c>
      <c r="G51" s="19">
        <f>'INPUTS - Current State'!$C$35</f>
        <v/>
      </c>
      <c r="H51" s="6">
        <f>ROUNDUP(C51/'INPUTS - Current State'!$E$36,0)</f>
        <v/>
      </c>
      <c r="I51" s="6">
        <f>'INPUTS - Current State'!$C$36</f>
        <v/>
      </c>
      <c r="J51" s="18">
        <f>IF(OR(D51&gt;E51,F51&gt;G51,H51&gt;I51),"CONSTRAINT","")</f>
        <v/>
      </c>
    </row>
    <row r="52">
      <c r="B52" s="18" t="n">
        <v>37</v>
      </c>
      <c r="C52" s="19">
        <f>'DEMAND FORECAST'!C48</f>
        <v/>
      </c>
      <c r="D52" s="6">
        <f>ROUNDUP(C52/'INPUTS - Current State'!$E$34,0)</f>
        <v/>
      </c>
      <c r="E52" s="6">
        <f>'INPUTS - Current State'!$C$34</f>
        <v/>
      </c>
      <c r="F52" s="19">
        <f>ROUNDUP(C52*'INPUTS - Current State'!$E$35,0)</f>
        <v/>
      </c>
      <c r="G52" s="19">
        <f>'INPUTS - Current State'!$C$35</f>
        <v/>
      </c>
      <c r="H52" s="6">
        <f>ROUNDUP(C52/'INPUTS - Current State'!$E$36,0)</f>
        <v/>
      </c>
      <c r="I52" s="6">
        <f>'INPUTS - Current State'!$C$36</f>
        <v/>
      </c>
      <c r="J52" s="18">
        <f>IF(OR(D52&gt;E52,F52&gt;G52,H52&gt;I52),"CONSTRAINT","")</f>
        <v/>
      </c>
    </row>
    <row r="53">
      <c r="B53" s="18" t="n">
        <v>38</v>
      </c>
      <c r="C53" s="19">
        <f>'DEMAND FORECAST'!C49</f>
        <v/>
      </c>
      <c r="D53" s="6">
        <f>ROUNDUP(C53/'INPUTS - Current State'!$E$34,0)</f>
        <v/>
      </c>
      <c r="E53" s="6">
        <f>'INPUTS - Current State'!$C$34</f>
        <v/>
      </c>
      <c r="F53" s="19">
        <f>ROUNDUP(C53*'INPUTS - Current State'!$E$35,0)</f>
        <v/>
      </c>
      <c r="G53" s="19">
        <f>'INPUTS - Current State'!$C$35</f>
        <v/>
      </c>
      <c r="H53" s="6">
        <f>ROUNDUP(C53/'INPUTS - Current State'!$E$36,0)</f>
        <v/>
      </c>
      <c r="I53" s="6">
        <f>'INPUTS - Current State'!$C$36</f>
        <v/>
      </c>
      <c r="J53" s="18">
        <f>IF(OR(D53&gt;E53,F53&gt;G53,H53&gt;I53),"CONSTRAINT","")</f>
        <v/>
      </c>
    </row>
    <row r="54">
      <c r="B54" s="18" t="n">
        <v>39</v>
      </c>
      <c r="C54" s="19">
        <f>'DEMAND FORECAST'!C50</f>
        <v/>
      </c>
      <c r="D54" s="6">
        <f>ROUNDUP(C54/'INPUTS - Current State'!$E$34,0)</f>
        <v/>
      </c>
      <c r="E54" s="6">
        <f>'INPUTS - Current State'!$C$34</f>
        <v/>
      </c>
      <c r="F54" s="19">
        <f>ROUNDUP(C54*'INPUTS - Current State'!$E$35,0)</f>
        <v/>
      </c>
      <c r="G54" s="19">
        <f>'INPUTS - Current State'!$C$35</f>
        <v/>
      </c>
      <c r="H54" s="6">
        <f>ROUNDUP(C54/'INPUTS - Current State'!$E$36,0)</f>
        <v/>
      </c>
      <c r="I54" s="6">
        <f>'INPUTS - Current State'!$C$36</f>
        <v/>
      </c>
      <c r="J54" s="18">
        <f>IF(OR(D54&gt;E54,F54&gt;G54,H54&gt;I54),"CONSTRAINT","")</f>
        <v/>
      </c>
    </row>
    <row r="55">
      <c r="B55" s="18" t="n">
        <v>40</v>
      </c>
      <c r="C55" s="19">
        <f>'DEMAND FORECAST'!C51</f>
        <v/>
      </c>
      <c r="D55" s="6">
        <f>ROUNDUP(C55/'INPUTS - Current State'!$E$34,0)</f>
        <v/>
      </c>
      <c r="E55" s="6">
        <f>'INPUTS - Current State'!$C$34</f>
        <v/>
      </c>
      <c r="F55" s="19">
        <f>ROUNDUP(C55*'INPUTS - Current State'!$E$35,0)</f>
        <v/>
      </c>
      <c r="G55" s="19">
        <f>'INPUTS - Current State'!$C$35</f>
        <v/>
      </c>
      <c r="H55" s="6">
        <f>ROUNDUP(C55/'INPUTS - Current State'!$E$36,0)</f>
        <v/>
      </c>
      <c r="I55" s="6">
        <f>'INPUTS - Current State'!$C$36</f>
        <v/>
      </c>
      <c r="J55" s="18">
        <f>IF(OR(D55&gt;E55,F55&gt;G55,H55&gt;I55),"CONSTRAINT","")</f>
        <v/>
      </c>
    </row>
    <row r="56">
      <c r="B56" s="18" t="n">
        <v>41</v>
      </c>
      <c r="C56" s="19">
        <f>'DEMAND FORECAST'!C52</f>
        <v/>
      </c>
      <c r="D56" s="6">
        <f>ROUNDUP(C56/'INPUTS - Current State'!$E$34,0)</f>
        <v/>
      </c>
      <c r="E56" s="6">
        <f>'INPUTS - Current State'!$C$34</f>
        <v/>
      </c>
      <c r="F56" s="19">
        <f>ROUNDUP(C56*'INPUTS - Current State'!$E$35,0)</f>
        <v/>
      </c>
      <c r="G56" s="19">
        <f>'INPUTS - Current State'!$C$35</f>
        <v/>
      </c>
      <c r="H56" s="6">
        <f>ROUNDUP(C56/'INPUTS - Current State'!$E$36,0)</f>
        <v/>
      </c>
      <c r="I56" s="6">
        <f>'INPUTS - Current State'!$C$36</f>
        <v/>
      </c>
      <c r="J56" s="18">
        <f>IF(OR(D56&gt;E56,F56&gt;G56,H56&gt;I56),"CONSTRAINT","")</f>
        <v/>
      </c>
    </row>
    <row r="57">
      <c r="B57" s="18" t="n">
        <v>42</v>
      </c>
      <c r="C57" s="19">
        <f>'DEMAND FORECAST'!C53</f>
        <v/>
      </c>
      <c r="D57" s="6">
        <f>ROUNDUP(C57/'INPUTS - Current State'!$E$34,0)</f>
        <v/>
      </c>
      <c r="E57" s="6">
        <f>'INPUTS - Current State'!$C$34</f>
        <v/>
      </c>
      <c r="F57" s="19">
        <f>ROUNDUP(C57*'INPUTS - Current State'!$E$35,0)</f>
        <v/>
      </c>
      <c r="G57" s="19">
        <f>'INPUTS - Current State'!$C$35</f>
        <v/>
      </c>
      <c r="H57" s="6">
        <f>ROUNDUP(C57/'INPUTS - Current State'!$E$36,0)</f>
        <v/>
      </c>
      <c r="I57" s="6">
        <f>'INPUTS - Current State'!$C$36</f>
        <v/>
      </c>
      <c r="J57" s="18">
        <f>IF(OR(D57&gt;E57,F57&gt;G57,H57&gt;I57),"CONSTRAINT","")</f>
        <v/>
      </c>
    </row>
    <row r="58">
      <c r="B58" s="18" t="n">
        <v>43</v>
      </c>
      <c r="C58" s="19">
        <f>'DEMAND FORECAST'!C54</f>
        <v/>
      </c>
      <c r="D58" s="6">
        <f>ROUNDUP(C58/'INPUTS - Current State'!$E$34,0)</f>
        <v/>
      </c>
      <c r="E58" s="6">
        <f>'INPUTS - Current State'!$C$34</f>
        <v/>
      </c>
      <c r="F58" s="19">
        <f>ROUNDUP(C58*'INPUTS - Current State'!$E$35,0)</f>
        <v/>
      </c>
      <c r="G58" s="19">
        <f>'INPUTS - Current State'!$C$35</f>
        <v/>
      </c>
      <c r="H58" s="6">
        <f>ROUNDUP(C58/'INPUTS - Current State'!$E$36,0)</f>
        <v/>
      </c>
      <c r="I58" s="6">
        <f>'INPUTS - Current State'!$C$36</f>
        <v/>
      </c>
      <c r="J58" s="18">
        <f>IF(OR(D58&gt;E58,F58&gt;G58,H58&gt;I58),"CONSTRAINT","")</f>
        <v/>
      </c>
    </row>
    <row r="59">
      <c r="B59" s="18" t="n">
        <v>44</v>
      </c>
      <c r="C59" s="19">
        <f>'DEMAND FORECAST'!C55</f>
        <v/>
      </c>
      <c r="D59" s="6">
        <f>ROUNDUP(C59/'INPUTS - Current State'!$E$34,0)</f>
        <v/>
      </c>
      <c r="E59" s="6">
        <f>'INPUTS - Current State'!$C$34</f>
        <v/>
      </c>
      <c r="F59" s="19">
        <f>ROUNDUP(C59*'INPUTS - Current State'!$E$35,0)</f>
        <v/>
      </c>
      <c r="G59" s="19">
        <f>'INPUTS - Current State'!$C$35</f>
        <v/>
      </c>
      <c r="H59" s="6">
        <f>ROUNDUP(C59/'INPUTS - Current State'!$E$36,0)</f>
        <v/>
      </c>
      <c r="I59" s="6">
        <f>'INPUTS - Current State'!$C$36</f>
        <v/>
      </c>
      <c r="J59" s="18">
        <f>IF(OR(D59&gt;E59,F59&gt;G59,H59&gt;I59),"CONSTRAINT","")</f>
        <v/>
      </c>
    </row>
    <row r="60">
      <c r="B60" s="18" t="n">
        <v>45</v>
      </c>
      <c r="C60" s="19">
        <f>'DEMAND FORECAST'!C56</f>
        <v/>
      </c>
      <c r="D60" s="6">
        <f>ROUNDUP(C60/'INPUTS - Current State'!$E$34,0)</f>
        <v/>
      </c>
      <c r="E60" s="6">
        <f>'INPUTS - Current State'!$C$34</f>
        <v/>
      </c>
      <c r="F60" s="19">
        <f>ROUNDUP(C60*'INPUTS - Current State'!$E$35,0)</f>
        <v/>
      </c>
      <c r="G60" s="19">
        <f>'INPUTS - Current State'!$C$35</f>
        <v/>
      </c>
      <c r="H60" s="6">
        <f>ROUNDUP(C60/'INPUTS - Current State'!$E$36,0)</f>
        <v/>
      </c>
      <c r="I60" s="6">
        <f>'INPUTS - Current State'!$C$36</f>
        <v/>
      </c>
      <c r="J60" s="18">
        <f>IF(OR(D60&gt;E60,F60&gt;G60,H60&gt;I60),"CONSTRAINT","")</f>
        <v/>
      </c>
    </row>
    <row r="61">
      <c r="B61" s="18" t="n">
        <v>46</v>
      </c>
      <c r="C61" s="19">
        <f>'DEMAND FORECAST'!C57</f>
        <v/>
      </c>
      <c r="D61" s="6">
        <f>ROUNDUP(C61/'INPUTS - Current State'!$E$34,0)</f>
        <v/>
      </c>
      <c r="E61" s="6">
        <f>'INPUTS - Current State'!$C$34</f>
        <v/>
      </c>
      <c r="F61" s="19">
        <f>ROUNDUP(C61*'INPUTS - Current State'!$E$35,0)</f>
        <v/>
      </c>
      <c r="G61" s="19">
        <f>'INPUTS - Current State'!$C$35</f>
        <v/>
      </c>
      <c r="H61" s="6">
        <f>ROUNDUP(C61/'INPUTS - Current State'!$E$36,0)</f>
        <v/>
      </c>
      <c r="I61" s="6">
        <f>'INPUTS - Current State'!$C$36</f>
        <v/>
      </c>
      <c r="J61" s="18">
        <f>IF(OR(D61&gt;E61,F61&gt;G61,H61&gt;I61),"CONSTRAINT","")</f>
        <v/>
      </c>
    </row>
    <row r="62">
      <c r="B62" s="18" t="n">
        <v>47</v>
      </c>
      <c r="C62" s="19">
        <f>'DEMAND FORECAST'!C58</f>
        <v/>
      </c>
      <c r="D62" s="6">
        <f>ROUNDUP(C62/'INPUTS - Current State'!$E$34,0)</f>
        <v/>
      </c>
      <c r="E62" s="6">
        <f>'INPUTS - Current State'!$C$34</f>
        <v/>
      </c>
      <c r="F62" s="19">
        <f>ROUNDUP(C62*'INPUTS - Current State'!$E$35,0)</f>
        <v/>
      </c>
      <c r="G62" s="19">
        <f>'INPUTS - Current State'!$C$35</f>
        <v/>
      </c>
      <c r="H62" s="6">
        <f>ROUNDUP(C62/'INPUTS - Current State'!$E$36,0)</f>
        <v/>
      </c>
      <c r="I62" s="6">
        <f>'INPUTS - Current State'!$C$36</f>
        <v/>
      </c>
      <c r="J62" s="18">
        <f>IF(OR(D62&gt;E62,F62&gt;G62,H62&gt;I62),"CONSTRAINT","")</f>
        <v/>
      </c>
    </row>
    <row r="63">
      <c r="B63" s="18" t="n">
        <v>48</v>
      </c>
      <c r="C63" s="19">
        <f>'DEMAND FORECAST'!C59</f>
        <v/>
      </c>
      <c r="D63" s="6">
        <f>ROUNDUP(C63/'INPUTS - Current State'!$E$34,0)</f>
        <v/>
      </c>
      <c r="E63" s="6">
        <f>'INPUTS - Current State'!$C$34</f>
        <v/>
      </c>
      <c r="F63" s="19">
        <f>ROUNDUP(C63*'INPUTS - Current State'!$E$35,0)</f>
        <v/>
      </c>
      <c r="G63" s="19">
        <f>'INPUTS - Current State'!$C$35</f>
        <v/>
      </c>
      <c r="H63" s="6">
        <f>ROUNDUP(C63/'INPUTS - Current State'!$E$36,0)</f>
        <v/>
      </c>
      <c r="I63" s="6">
        <f>'INPUTS - Current State'!$C$36</f>
        <v/>
      </c>
      <c r="J63" s="18">
        <f>IF(OR(D63&gt;E63,F63&gt;G63,H63&gt;I63),"CONSTRAINT","")</f>
        <v/>
      </c>
    </row>
    <row r="64">
      <c r="B64" s="18" t="n">
        <v>49</v>
      </c>
      <c r="C64" s="19">
        <f>'DEMAND FORECAST'!C60</f>
        <v/>
      </c>
      <c r="D64" s="6">
        <f>ROUNDUP(C64/'INPUTS - Current State'!$E$34,0)</f>
        <v/>
      </c>
      <c r="E64" s="6">
        <f>'INPUTS - Current State'!$C$34</f>
        <v/>
      </c>
      <c r="F64" s="19">
        <f>ROUNDUP(C64*'INPUTS - Current State'!$E$35,0)</f>
        <v/>
      </c>
      <c r="G64" s="19">
        <f>'INPUTS - Current State'!$C$35</f>
        <v/>
      </c>
      <c r="H64" s="6">
        <f>ROUNDUP(C64/'INPUTS - Current State'!$E$36,0)</f>
        <v/>
      </c>
      <c r="I64" s="6">
        <f>'INPUTS - Current State'!$C$36</f>
        <v/>
      </c>
      <c r="J64" s="18">
        <f>IF(OR(D64&gt;E64,F64&gt;G64,H64&gt;I64),"CONSTRAINT","")</f>
        <v/>
      </c>
    </row>
    <row r="65">
      <c r="B65" s="18" t="n">
        <v>50</v>
      </c>
      <c r="C65" s="19">
        <f>'DEMAND FORECAST'!C61</f>
        <v/>
      </c>
      <c r="D65" s="6">
        <f>ROUNDUP(C65/'INPUTS - Current State'!$E$34,0)</f>
        <v/>
      </c>
      <c r="E65" s="6">
        <f>'INPUTS - Current State'!$C$34</f>
        <v/>
      </c>
      <c r="F65" s="19">
        <f>ROUNDUP(C65*'INPUTS - Current State'!$E$35,0)</f>
        <v/>
      </c>
      <c r="G65" s="19">
        <f>'INPUTS - Current State'!$C$35</f>
        <v/>
      </c>
      <c r="H65" s="6">
        <f>ROUNDUP(C65/'INPUTS - Current State'!$E$36,0)</f>
        <v/>
      </c>
      <c r="I65" s="6">
        <f>'INPUTS - Current State'!$C$36</f>
        <v/>
      </c>
      <c r="J65" s="18">
        <f>IF(OR(D65&gt;E65,F65&gt;G65,H65&gt;I65),"CONSTRAINT","")</f>
        <v/>
      </c>
    </row>
    <row r="66">
      <c r="B66" s="18" t="n">
        <v>51</v>
      </c>
      <c r="C66" s="19">
        <f>'DEMAND FORECAST'!C62</f>
        <v/>
      </c>
      <c r="D66" s="6">
        <f>ROUNDUP(C66/'INPUTS - Current State'!$E$34,0)</f>
        <v/>
      </c>
      <c r="E66" s="6">
        <f>'INPUTS - Current State'!$C$34</f>
        <v/>
      </c>
      <c r="F66" s="19">
        <f>ROUNDUP(C66*'INPUTS - Current State'!$E$35,0)</f>
        <v/>
      </c>
      <c r="G66" s="19">
        <f>'INPUTS - Current State'!$C$35</f>
        <v/>
      </c>
      <c r="H66" s="6">
        <f>ROUNDUP(C66/'INPUTS - Current State'!$E$36,0)</f>
        <v/>
      </c>
      <c r="I66" s="6">
        <f>'INPUTS - Current State'!$C$36</f>
        <v/>
      </c>
      <c r="J66" s="18">
        <f>IF(OR(D66&gt;E66,F66&gt;G66,H66&gt;I66),"CONSTRAINT","")</f>
        <v/>
      </c>
    </row>
    <row r="67">
      <c r="B67" s="18" t="n">
        <v>52</v>
      </c>
      <c r="C67" s="19">
        <f>'DEMAND FORECAST'!C63</f>
        <v/>
      </c>
      <c r="D67" s="6">
        <f>ROUNDUP(C67/'INPUTS - Current State'!$E$34,0)</f>
        <v/>
      </c>
      <c r="E67" s="6">
        <f>'INPUTS - Current State'!$C$34</f>
        <v/>
      </c>
      <c r="F67" s="19">
        <f>ROUNDUP(C67*'INPUTS - Current State'!$E$35,0)</f>
        <v/>
      </c>
      <c r="G67" s="19">
        <f>'INPUTS - Current State'!$C$35</f>
        <v/>
      </c>
      <c r="H67" s="6">
        <f>ROUNDUP(C67/'INPUTS - Current State'!$E$36,0)</f>
        <v/>
      </c>
      <c r="I67" s="6">
        <f>'INPUTS - Current State'!$C$36</f>
        <v/>
      </c>
      <c r="J67" s="18">
        <f>IF(OR(D67&gt;E67,F67&gt;G67,H67&gt;I67),"CONSTRAINT","")</f>
        <v/>
      </c>
    </row>
  </sheetData>
  <conditionalFormatting sqref="J16:J67">
    <cfRule type="expression" priority="1" dxfId="2">
      <formula>$J16="CONSTRAINT"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D7E14"/>
    <outlinePr summaryBelow="1" summaryRight="1"/>
    <pageSetUpPr/>
  </sheetPr>
  <dimension ref="B2:E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SCENARIO COMPARISON</t>
        </is>
      </c>
    </row>
    <row r="3">
      <c r="B3" s="10" t="inlineStr">
        <is>
          <t>Side-by-side comparison of Baseline, Optimistic, and Pessimistic scenarios</t>
        </is>
      </c>
    </row>
    <row r="5">
      <c r="B5" s="2" t="inlineStr">
        <is>
          <t>KEY METRICS COMPARISON</t>
        </is>
      </c>
    </row>
    <row r="7">
      <c r="B7" s="25" t="inlineStr">
        <is>
          <t>Metric</t>
        </is>
      </c>
      <c r="C7" s="25" t="inlineStr">
        <is>
          <t>Baseline</t>
        </is>
      </c>
      <c r="D7" s="25" t="inlineStr">
        <is>
          <t>Optimistic</t>
        </is>
      </c>
      <c r="E7" s="25" t="inlineStr">
        <is>
          <t>Pessimistic</t>
        </is>
      </c>
    </row>
    <row r="8">
      <c r="B8" s="26" t="inlineStr">
        <is>
          <t>Monthly Growth Rate</t>
        </is>
      </c>
      <c r="C8" s="27">
        <f>'INPUTS - Scenarios'!C8</f>
        <v/>
      </c>
      <c r="D8" s="27">
        <f>'INPUTS - Scenarios'!D8</f>
        <v/>
      </c>
      <c r="E8" s="27">
        <f>'INPUTS - Scenarios'!E8</f>
        <v/>
      </c>
    </row>
    <row r="9">
      <c r="B9" s="26" t="inlineStr">
        <is>
          <t>Week 12 Daily Orders</t>
        </is>
      </c>
      <c r="C9" s="28">
        <f>'DEMAND FORECAST'!C23</f>
        <v/>
      </c>
      <c r="D9" s="28">
        <f>C9*1.04</f>
        <v/>
      </c>
      <c r="E9" s="28">
        <f>C9*0.96</f>
        <v/>
      </c>
    </row>
    <row r="10">
      <c r="B10" s="26" t="inlineStr">
        <is>
          <t>Week 24 Daily Orders</t>
        </is>
      </c>
      <c r="C10" s="28">
        <f>'DEMAND FORECAST'!C35</f>
        <v/>
      </c>
      <c r="D10" s="28">
        <f>C10*1.08</f>
        <v/>
      </c>
      <c r="E10" s="28">
        <f>C10*0.92</f>
        <v/>
      </c>
    </row>
    <row r="11">
      <c r="B11" s="26" t="inlineStr">
        <is>
          <t>Week 52 Daily Orders</t>
        </is>
      </c>
      <c r="C11" s="28">
        <f>'DEMAND FORECAST'!C63</f>
        <v/>
      </c>
      <c r="D11" s="28">
        <f>C11*1.16</f>
        <v/>
      </c>
      <c r="E11" s="28">
        <f>C11*0.84</f>
        <v/>
      </c>
    </row>
    <row r="12">
      <c r="B12" s="26" t="inlineStr">
        <is>
          <t>Est. Week Bottleneck First Hit</t>
        </is>
      </c>
      <c r="C12" s="13" t="inlineStr">
        <is>
          <t>4</t>
        </is>
      </c>
      <c r="D12" s="13" t="inlineStr">
        <is>
          <t>3</t>
        </is>
      </c>
      <c r="E12" s="13" t="inlineStr">
        <is>
          <t>6</t>
        </is>
      </c>
    </row>
    <row r="13">
      <c r="B13" s="26" t="inlineStr">
        <is>
          <t>Current Bottleneck Stage</t>
        </is>
      </c>
      <c r="C13" s="13" t="inlineStr">
        <is>
          <t>PV2 Techs</t>
        </is>
      </c>
      <c r="D13" s="13" t="inlineStr">
        <is>
          <t>PV2 Techs</t>
        </is>
      </c>
      <c r="E13" s="13" t="inlineStr">
        <is>
          <t>PV2 Techs</t>
        </is>
      </c>
    </row>
    <row r="14">
      <c r="B14" s="26" t="inlineStr">
        <is>
          <t>Total Hires Planned</t>
        </is>
      </c>
      <c r="C14" s="13" t="inlineStr">
        <is>
          <t>5</t>
        </is>
      </c>
      <c r="D14" s="13" t="inlineStr">
        <is>
          <t>9</t>
        </is>
      </c>
      <c r="E14" s="13" t="inlineStr">
        <is>
          <t>2</t>
        </is>
      </c>
    </row>
    <row r="15">
      <c r="B15" s="26" t="inlineStr">
        <is>
          <t>Est. New Hoods Needed (52 wks)</t>
        </is>
      </c>
      <c r="C15" s="13" t="inlineStr">
        <is>
          <t>2</t>
        </is>
      </c>
      <c r="D15" s="13" t="inlineStr">
        <is>
          <t>4</t>
        </is>
      </c>
      <c r="E15" s="13" t="inlineStr">
        <is>
          <t>1</t>
        </is>
      </c>
    </row>
    <row r="16">
      <c r="B16" s="26" t="inlineStr">
        <is>
          <t>Est. New Stations Needed (52 wks)</t>
        </is>
      </c>
      <c r="C16" s="13" t="inlineStr">
        <is>
          <t>3</t>
        </is>
      </c>
      <c r="D16" s="13" t="inlineStr">
        <is>
          <t>5</t>
        </is>
      </c>
      <c r="E16" s="13" t="inlineStr">
        <is>
          <t>1</t>
        </is>
      </c>
    </row>
    <row r="19">
      <c r="B19" s="2" t="inlineStr">
        <is>
          <t>HIRING TIMELINE BY SCENARIO</t>
        </is>
      </c>
    </row>
    <row r="21">
      <c r="B21" s="29" t="inlineStr">
        <is>
          <t>BASELINE SCENARIO:</t>
        </is>
      </c>
      <c r="C21" s="29" t="inlineStr">
        <is>
          <t>OPTIMISTIC SCENARIO:</t>
        </is>
      </c>
      <c r="D21" s="29" t="inlineStr">
        <is>
          <t>PESSIMISTIC SCENARIO:</t>
        </is>
      </c>
    </row>
    <row r="22">
      <c r="B22" t="inlineStr">
        <is>
          <t>Week 8: +2 PV2 Techs</t>
        </is>
      </c>
      <c r="C22" t="inlineStr">
        <is>
          <t>Week 6: +3 PV2 Techs</t>
        </is>
      </c>
      <c r="D22" t="inlineStr">
        <is>
          <t>Week 12: +1 PV2 Tech</t>
        </is>
      </c>
    </row>
    <row r="23">
      <c r="B23" t="inlineStr">
        <is>
          <t>Week 12: +1 Fulfillment Staff</t>
        </is>
      </c>
      <c r="C23" t="inlineStr">
        <is>
          <t>Week 10: +2 Fulfillment Staff</t>
        </is>
      </c>
      <c r="D23" t="inlineStr">
        <is>
          <t>Week 20: +1 Fulfillment Staff</t>
        </is>
      </c>
    </row>
    <row r="24">
      <c r="B24" t="inlineStr">
        <is>
          <t>Week 16: +1 PV1 Tech</t>
        </is>
      </c>
      <c r="C24" t="inlineStr">
        <is>
          <t>Week 12: +2 PV1 Techs</t>
        </is>
      </c>
      <c r="D24" t="inlineStr"/>
    </row>
    <row r="25">
      <c r="B25" t="inlineStr">
        <is>
          <t>Week 20: +1 Pharmacist</t>
        </is>
      </c>
      <c r="C25" t="inlineStr">
        <is>
          <t>Week 16: +2 Pharmacists</t>
        </is>
      </c>
      <c r="D25" t="inlineStr"/>
    </row>
    <row r="28">
      <c r="B28" s="2" t="inlineStr">
        <is>
          <t>RECOMMENDATIONS</t>
        </is>
      </c>
    </row>
    <row r="30">
      <c r="B30" t="inlineStr">
        <is>
          <t>Based on current analysis:</t>
        </is>
      </c>
    </row>
    <row r="31">
      <c r="B31" s="30" t="inlineStr">
        <is>
          <t>1. IMMEDIATE: Address PV2 bottleneck - hire 2 techs within next 4 weeks</t>
        </is>
      </c>
    </row>
    <row r="32">
      <c r="B32" s="30" t="inlineStr">
        <is>
          <t>2. SHORT-TERM: Plan for Fulfillment expansion by Week 12</t>
        </is>
      </c>
    </row>
    <row r="33">
      <c r="B33" s="30" t="inlineStr">
        <is>
          <t>3. FACILITY: Begin planning for 2 additional packing stations by Week 24</t>
        </is>
      </c>
    </row>
    <row r="34">
      <c r="B34" s="30" t="inlineStr">
        <is>
          <t>4. EQUIPMENT: Ensure vial filling machine is operational by Week 10</t>
        </is>
      </c>
    </row>
    <row r="35">
      <c r="B35" s="30" t="inlineStr">
        <is>
          <t>5. MONITOR: Track actual growth rate vs. projections monthly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D7E14"/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  <col width="25" customWidth="1" min="8" max="8"/>
    <col width="15" customWidth="1" min="9" max="9"/>
    <col width="15" customWidth="1" min="10" max="10"/>
  </cols>
  <sheetData>
    <row r="2">
      <c r="B2" s="31" t="inlineStr">
        <is>
          <t>CAPACITY PLANNING DASHBOARD</t>
        </is>
      </c>
    </row>
    <row r="4">
      <c r="B4" s="32" t="inlineStr">
        <is>
          <t>CURRENT STATE (Week 1)</t>
        </is>
      </c>
      <c r="H4" s="32" t="inlineStr">
        <is>
          <t>FACILITY STATUS</t>
        </is>
      </c>
    </row>
    <row r="6">
      <c r="B6" s="33" t="inlineStr">
        <is>
          <t>Daily Orders</t>
        </is>
      </c>
      <c r="C6" s="33" t="inlineStr">
        <is>
          <t>Weekly Orders</t>
        </is>
      </c>
      <c r="D6" s="33" t="inlineStr">
        <is>
          <t>Growth Rate</t>
        </is>
      </c>
      <c r="E6" s="33" t="inlineStr">
        <is>
          <t>Total Staff</t>
        </is>
      </c>
      <c r="H6" s="11" t="inlineStr">
        <is>
          <t>Resource</t>
        </is>
      </c>
      <c r="I6" s="11" t="inlineStr">
        <is>
          <t>Current</t>
        </is>
      </c>
      <c r="J6" s="11" t="inlineStr">
        <is>
          <t>Status</t>
        </is>
      </c>
    </row>
    <row r="7">
      <c r="B7" s="34">
        <f>'INPUTS - Current State'!C18</f>
        <v/>
      </c>
      <c r="C7" s="34">
        <f>'INPUTS - Current State'!C20</f>
        <v/>
      </c>
      <c r="D7" s="35">
        <f>'INPUTS - Current State'!C26/100</f>
        <v/>
      </c>
      <c r="E7" s="34">
        <f>SUM('INPUTS - Current State'!C8:C13)</f>
        <v/>
      </c>
      <c r="H7" s="4" t="inlineStr">
        <is>
          <t>Compounding Hoods</t>
        </is>
      </c>
      <c r="I7" s="18" t="inlineStr">
        <is>
          <t>6/8</t>
        </is>
      </c>
      <c r="J7" s="36" t="inlineStr">
        <is>
          <t>OK</t>
        </is>
      </c>
    </row>
    <row r="8">
      <c r="H8" s="4" t="inlineStr">
        <is>
          <t>Storage (sq ft)</t>
        </is>
      </c>
      <c r="I8" s="18" t="inlineStr">
        <is>
          <t>8K/12K</t>
        </is>
      </c>
      <c r="J8" s="36" t="inlineStr">
        <is>
          <t>OK</t>
        </is>
      </c>
    </row>
    <row r="9">
      <c r="H9" s="4" t="inlineStr">
        <is>
          <t>Packing Stations</t>
        </is>
      </c>
      <c r="I9" s="18" t="inlineStr">
        <is>
          <t>8/10</t>
        </is>
      </c>
      <c r="J9" s="37" t="inlineStr">
        <is>
          <t>WATCH</t>
        </is>
      </c>
    </row>
    <row r="10">
      <c r="B10" s="38" t="inlineStr">
        <is>
          <t>CURRENT BOTTLENECK</t>
        </is>
      </c>
    </row>
    <row r="11">
      <c r="B11" t="inlineStr">
        <is>
          <t>Stage:</t>
        </is>
      </c>
      <c r="C11" s="39" t="inlineStr">
        <is>
          <t>PV2 Techs</t>
        </is>
      </c>
    </row>
    <row r="12">
      <c r="B12" t="inlineStr">
        <is>
          <t>Utilization:</t>
        </is>
      </c>
      <c r="C12" s="40">
        <f>MAX('CAPACITY MODEL'!H12:H15)</f>
        <v/>
      </c>
      <c r="H12" s="32" t="inlineStr">
        <is>
          <t>KEY MILESTONES</t>
        </is>
      </c>
    </row>
    <row r="13">
      <c r="B13" t="inlineStr">
        <is>
          <t>Weeks to 100%:</t>
        </is>
      </c>
      <c r="C13" s="39" t="n">
        <v>4</v>
      </c>
    </row>
    <row r="14">
      <c r="B14" t="inlineStr">
        <is>
          <t>Action Required:</t>
        </is>
      </c>
      <c r="C14" s="41" t="inlineStr">
        <is>
          <t>Hire 2 PV2 Techs ASAP</t>
        </is>
      </c>
      <c r="H14" t="inlineStr">
        <is>
          <t>Week 4: PV2 hits 90% (critical)</t>
        </is>
      </c>
    </row>
    <row r="15">
      <c r="H15" t="inlineStr">
        <is>
          <t>Week 8: New PV2 hires onboarded</t>
        </is>
      </c>
    </row>
    <row r="16">
      <c r="H16" t="inlineStr">
        <is>
          <t>Week 10: Vial machine arrives</t>
        </is>
      </c>
    </row>
    <row r="17">
      <c r="B17" s="32" t="inlineStr">
        <is>
          <t>CAPACITY UTILIZATION HEATMAP</t>
        </is>
      </c>
      <c r="H17" t="inlineStr">
        <is>
          <t>Week 12: Fulfillment review</t>
        </is>
      </c>
    </row>
    <row r="18">
      <c r="H18" t="inlineStr">
        <is>
          <t>Week 24: Facility expansion review</t>
        </is>
      </c>
    </row>
    <row r="19">
      <c r="B19" s="11" t="inlineStr">
        <is>
          <t>Stage</t>
        </is>
      </c>
      <c r="C19" s="11" t="inlineStr">
        <is>
          <t>Week 1</t>
        </is>
      </c>
      <c r="D19" s="11" t="inlineStr">
        <is>
          <t>Week 4</t>
        </is>
      </c>
      <c r="E19" s="11" t="inlineStr">
        <is>
          <t>Week 8</t>
        </is>
      </c>
      <c r="F19" s="11" t="inlineStr">
        <is>
          <t>Week 12</t>
        </is>
      </c>
    </row>
    <row r="20">
      <c r="B20" s="26" t="inlineStr">
        <is>
          <t>Compounding</t>
        </is>
      </c>
      <c r="C20" s="42" t="n">
        <v>0.67</v>
      </c>
      <c r="D20" s="43" t="n">
        <v>0.72</v>
      </c>
      <c r="E20" s="43" t="n">
        <v>0.78</v>
      </c>
      <c r="F20" s="43" t="n">
        <v>0.84</v>
      </c>
    </row>
    <row r="21">
      <c r="B21" s="26" t="inlineStr">
        <is>
          <t>PV1 Techs</t>
        </is>
      </c>
      <c r="C21" s="42" t="n">
        <v>0.5</v>
      </c>
      <c r="D21" s="42" t="n">
        <v>0.54</v>
      </c>
      <c r="E21" s="42" t="n">
        <v>0.58</v>
      </c>
      <c r="F21" s="42" t="n">
        <v>0.63</v>
      </c>
    </row>
    <row r="22">
      <c r="B22" s="26" t="inlineStr">
        <is>
          <t>PV2 Techs</t>
        </is>
      </c>
      <c r="C22" s="43" t="n">
        <v>0.83</v>
      </c>
      <c r="D22" s="44" t="n">
        <v>0.9</v>
      </c>
      <c r="E22" s="44" t="n">
        <v>0.97</v>
      </c>
      <c r="F22" s="44" t="n">
        <v>1.05</v>
      </c>
    </row>
    <row r="23">
      <c r="B23" s="26" t="inlineStr">
        <is>
          <t>Fulfillment</t>
        </is>
      </c>
      <c r="C23" s="42" t="n">
        <v>0.67</v>
      </c>
      <c r="D23" s="43" t="n">
        <v>0.72</v>
      </c>
      <c r="E23" s="43" t="n">
        <v>0.78</v>
      </c>
      <c r="F23" s="43" t="n">
        <v>0.84</v>
      </c>
    </row>
    <row r="26">
      <c r="B26" s="32" t="inlineStr">
        <is>
          <t>HIRING RECOMMENDATIONS</t>
        </is>
      </c>
    </row>
    <row r="28">
      <c r="B28" s="15" t="inlineStr">
        <is>
          <t>Priority</t>
        </is>
      </c>
      <c r="C28" s="15" t="inlineStr">
        <is>
          <t>Role</t>
        </is>
      </c>
      <c r="D28" s="15" t="inlineStr">
        <is>
          <t># to Hire</t>
        </is>
      </c>
      <c r="E28" s="15" t="inlineStr">
        <is>
          <t>Target Week</t>
        </is>
      </c>
      <c r="F28" s="15" t="inlineStr">
        <is>
          <t>Reason</t>
        </is>
      </c>
    </row>
    <row r="29">
      <c r="B29" s="9" t="inlineStr">
        <is>
          <t>URGENT</t>
        </is>
      </c>
      <c r="C29" s="4" t="inlineStr">
        <is>
          <t>PV2 Techs</t>
        </is>
      </c>
      <c r="D29" s="18" t="n">
        <v>2</v>
      </c>
      <c r="E29" s="18" t="inlineStr">
        <is>
          <t>Week 4</t>
        </is>
      </c>
      <c r="F29" s="4" t="inlineStr">
        <is>
          <t>Current bottleneck at 83%</t>
        </is>
      </c>
    </row>
    <row r="30">
      <c r="B30" s="8" t="inlineStr">
        <is>
          <t>HIGH</t>
        </is>
      </c>
      <c r="C30" s="4" t="inlineStr">
        <is>
          <t>Fulfillment Staff</t>
        </is>
      </c>
      <c r="D30" s="18" t="n">
        <v>1</v>
      </c>
      <c r="E30" s="18" t="inlineStr">
        <is>
          <t>Week 10</t>
        </is>
      </c>
      <c r="F30" s="4" t="inlineStr">
        <is>
          <t>Will hit 90% by Week 12</t>
        </is>
      </c>
    </row>
    <row r="31">
      <c r="B31" s="4" t="inlineStr">
        <is>
          <t>MEDIUM</t>
        </is>
      </c>
      <c r="C31" s="4" t="inlineStr">
        <is>
          <t>PV1 Techs</t>
        </is>
      </c>
      <c r="D31" s="18" t="n">
        <v>1</v>
      </c>
      <c r="E31" s="18" t="inlineStr">
        <is>
          <t>Week 16</t>
        </is>
      </c>
      <c r="F31" s="4" t="inlineStr">
        <is>
          <t>Preventive scaling</t>
        </is>
      </c>
    </row>
    <row r="32">
      <c r="B32" s="4" t="inlineStr">
        <is>
          <t>LOW</t>
        </is>
      </c>
      <c r="C32" s="4" t="inlineStr">
        <is>
          <t>Pharmacists</t>
        </is>
      </c>
      <c r="D32" s="18" t="n">
        <v>1</v>
      </c>
      <c r="E32" s="18" t="inlineStr">
        <is>
          <t>Week 20</t>
        </is>
      </c>
      <c r="F32" s="4" t="inlineStr">
        <is>
          <t>Compounding expansion</t>
        </is>
      </c>
    </row>
  </sheetData>
  <mergeCells count="7">
    <mergeCell ref="B4:F4"/>
    <mergeCell ref="B2:F2"/>
    <mergeCell ref="B10:C10"/>
    <mergeCell ref="H4:J4"/>
    <mergeCell ref="H12:J12"/>
    <mergeCell ref="B26:F26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2026-01-17T18:23:34Z</dcterms:created>
  <dcterms:modified xsi:type="dcterms:W3CDTF">2026-01-17T18:23:34Z</dcterms:modified>
</cp:coreProperties>
</file>